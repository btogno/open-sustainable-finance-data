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6"/>
  <workbookPr/>
  <mc:AlternateContent xmlns:mc="http://schemas.openxmlformats.org/markup-compatibility/2006">
    <mc:Choice Requires="x15">
      <x15ac:absPath xmlns:x15ac="http://schemas.microsoft.com/office/spreadsheetml/2010/11/ac" url="/Users/bastientogno/Desktop/Master Thesis/open-sustainable-finance-data/data/"/>
    </mc:Choice>
  </mc:AlternateContent>
  <xr:revisionPtr revIDLastSave="0" documentId="13_ncr:1_{AAEFCA24-4AFD-AE49-B142-F1AB67A7DD39}" xr6:coauthVersionLast="47" xr6:coauthVersionMax="47" xr10:uidLastSave="{00000000-0000-0000-0000-000000000000}"/>
  <bookViews>
    <workbookView xWindow="0" yWindow="660" windowWidth="30240" windowHeight="18000" xr2:uid="{00000000-000D-0000-FFFF-FFFF00000000}"/>
  </bookViews>
  <sheets>
    <sheet name="Full Coding" sheetId="2" r:id="rId1"/>
    <sheet name="Codebook" sheetId="3" r:id="rId2"/>
    <sheet name="PRISMA Pipeline" sheetId="6" r:id="rId3"/>
  </sheets>
  <definedNames>
    <definedName name="_xlnm._FilterDatabase" localSheetId="0" hidden="1">'Full Coding'!$A$2:$AG$111</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7" i="6" l="1"/>
  <c r="D7" i="6"/>
  <c r="C7"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tc={00707F9B-B4BE-0744-A09E-9AAA14B1B16C}</author>
    <author>tc={04386B18-EC4B-8D46-8B87-11332DA9FE36}</author>
    <author>tc={FE04C77B-A94C-0D41-8445-8FE65ED39201}</author>
  </authors>
  <commentList>
    <comment ref="W1" authorId="0" shapeId="0" xr:uid="{00707F9B-B4BE-0744-A09E-9AAA14B1B16C}">
      <text>
        <t xml:space="preserve">[Threaded comment]
Your version of Excel allows you to read this threaded comment; however, any edits to it will get removed if the file is opened in a newer version of Excel. Learn more: https://go.microsoft.com/fwlink/?linkid=870924
Comment:
    if star, abnormal end date </t>
      </text>
    </comment>
    <comment ref="Y7" authorId="1" shapeId="0" xr:uid="{04386B18-EC4B-8D46-8B87-11332DA9FE36}">
      <text>
        <t xml:space="preserve">[Threaded comment]
Your version of Excel allows you to read this threaded comment; however, any edits to it will get removed if the file is opened in a newer version of Excel. Learn more: https://go.microsoft.com/fwlink/?linkid=870924
Comment:
    Data base updated (last updated 2024)
</t>
      </text>
    </comment>
    <comment ref="AC72" authorId="2" shapeId="0" xr:uid="{FE04C77B-A94C-0D41-8445-8FE65ED39201}">
      <text>
        <t>[Threaded comment]
Your version of Excel allows you to read this threaded comment; however, any edits to it will get removed if the file is opened in a newer version of Excel. Learn more: https://go.microsoft.com/fwlink/?linkid=870924
Comment:
    to check</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tc={6B237F5B-3998-DE45-B70D-7197B4746B1F}</author>
  </authors>
  <commentList>
    <comment ref="C2" authorId="0" shapeId="0" xr:uid="{6B237F5B-3998-DE45-B70D-7197B4746B1F}">
      <text>
        <t>[Threaded comment]
Your version of Excel allows you to read this threaded comment; however, any edits to it will get removed if the file is opened in a newer version of Excel. Learn more: https://go.microsoft.com/fwlink/?linkid=870924
Comment:
    AS OF 25.03.2026 SCOPUS</t>
      </text>
    </comment>
  </commentList>
</comments>
</file>

<file path=xl/sharedStrings.xml><?xml version="1.0" encoding="utf-8"?>
<sst xmlns="http://schemas.openxmlformats.org/spreadsheetml/2006/main" count="2305" uniqueCount="1058">
  <si>
    <t>PAPER IDENTIFICATION</t>
  </si>
  <si>
    <t>METHOD</t>
  </si>
  <si>
    <t>RAW DATA SOURCE</t>
  </si>
  <si>
    <t>TEMPORAL DIMENSION</t>
  </si>
  <si>
    <t>ACCESSIBILITY</t>
  </si>
  <si>
    <t>Full Citation
(Author, Year, Journal)</t>
  </si>
  <si>
    <t>Publication Year</t>
  </si>
  <si>
    <t>Dataset Start Year</t>
  </si>
  <si>
    <t>Dataset End Year</t>
  </si>
  <si>
    <t>Data Geographic Scope</t>
  </si>
  <si>
    <t>Geographic Notes</t>
  </si>
  <si>
    <t>Access Link / Repository</t>
  </si>
  <si>
    <t>Replication Code?
(Y/N/Partial)</t>
  </si>
  <si>
    <t>Unit of Observation</t>
  </si>
  <si>
    <t>Governance</t>
  </si>
  <si>
    <t>P01</t>
  </si>
  <si>
    <t>Firm-level climate exposure / earnings calls</t>
  </si>
  <si>
    <t>P02</t>
  </si>
  <si>
    <t>P03</t>
  </si>
  <si>
    <t>P04</t>
  </si>
  <si>
    <t>P05</t>
  </si>
  <si>
    <t>P06</t>
  </si>
  <si>
    <t>P07</t>
  </si>
  <si>
    <t>P08</t>
  </si>
  <si>
    <t>P09</t>
  </si>
  <si>
    <t>P10</t>
  </si>
  <si>
    <t>TOPIC  ★  —  mark Y in every column that applies (multiple allowed)</t>
  </si>
  <si>
    <t>EVALUATION APPROACH</t>
  </si>
  <si>
    <t>GEOGRAPHICAL DIMENSION</t>
  </si>
  <si>
    <t>UNIT OF OBSERVATION</t>
  </si>
  <si>
    <t>Topic:
Climate Physical Risk</t>
  </si>
  <si>
    <t>Topic:
Climate Transition Risk</t>
  </si>
  <si>
    <t>Topic:
ESG Disclosure</t>
  </si>
  <si>
    <t>Topic:
Biodiversity &amp; Nature</t>
  </si>
  <si>
    <t>Topic:
Green Bonds &amp; Sustainable Debt</t>
  </si>
  <si>
    <t>Topic:
Corporate Emissions (Scope 1/2/3)</t>
  </si>
  <si>
    <t>Topic:
Social Factors</t>
  </si>
  <si>
    <t>Topic:
Governance</t>
  </si>
  <si>
    <t>Topic:
Other</t>
  </si>
  <si>
    <t>Method (primary)</t>
  </si>
  <si>
    <t>Method (secondary)</t>
  </si>
  <si>
    <t>Researcher Origin</t>
  </si>
  <si>
    <t>Data Geographic Scope ★</t>
  </si>
  <si>
    <t>Data Publicly Available?
(Y/N/Partial)</t>
  </si>
  <si>
    <t>TAXONOMY CODEBOOK  —  Open-Source Datasets &amp; Methods in Sustainable Finance (Pilot v1.0)</t>
  </si>
  <si>
    <t>Dimension</t>
  </si>
  <si>
    <t>Category / Code</t>
  </si>
  <si>
    <t>Definition &amp; Guidance</t>
  </si>
  <si>
    <t>TOPIC
(primary +
secondary
for pilot;
binary cols
for full phase)</t>
  </si>
  <si>
    <t>Climate Physical Risk</t>
  </si>
  <si>
    <t>Exposure to physical climate hazards: floods, storms, wildfires, drought, sea-level rise. Includes firm-level and asset-level measures.</t>
  </si>
  <si>
    <t>Climate Transition Risk</t>
  </si>
  <si>
    <t>Exposure to policy, regulatory, or market shifts from low-carbon transition. Carbon pricing, stranded assets, TCFD/CSRD compliance, disclosure scores.</t>
  </si>
  <si>
    <t>ESG Disclosure</t>
  </si>
  <si>
    <t>Datasets from corporate sustainability reports, CDP/TCFD filings, ESG ratings. Focus on disclosure quality or content, not underlying emissions.</t>
  </si>
  <si>
    <t>Biodiversity &amp; Nature</t>
  </si>
  <si>
    <t>Firm-level or portfolio exposure to nature loss, ecosystem services, or biodiversity regulation (TNFD, SBTN).</t>
  </si>
  <si>
    <t>Green Bonds &amp; Sust. Debt</t>
  </si>
  <si>
    <t>Green, social, sustainability-linked bond issuance, pricing, and use-of-proceeds data.</t>
  </si>
  <si>
    <t>Corporate Emissions (Sc.1/2/3)</t>
  </si>
  <si>
    <t>Direct emissions (Scope 1 &amp; 2) or supply-chain emissions (Scope 3) at firm level.</t>
  </si>
  <si>
    <t>Social Factors</t>
  </si>
  <si>
    <t>Labour practices, diversity, human rights, community impact — only when social dimension is the primary focus.</t>
  </si>
  <si>
    <t>Board structure, executive pay, ownership concentration, shareholder rights.</t>
  </si>
  <si>
    <t>Cross-cutting / Multiple</t>
  </si>
  <si>
    <t>Use in primary field when paper spans two+ topics equally. Always fill secondary field. In full phase, tick all relevant binary columns.</t>
  </si>
  <si>
    <t>NLP / Textual Analysis</t>
  </si>
  <si>
    <t>Bag-of-words, sentiment dictionaries, topic models (LDA), transformer-based models (BERT, ClimateBert, GPT).</t>
  </si>
  <si>
    <t>Satellite &amp; Remote Sensing</t>
  </si>
  <si>
    <t>Satellite imagery, geospatial data, night-lights, land use, flood maps.</t>
  </si>
  <si>
    <t>Regulatory Filing Parsing</t>
  </si>
  <si>
    <t>Systematic extraction from structured regulatory docs (10-K sections, CDP questionnaires) without advanced NLP.</t>
  </si>
  <si>
    <t>Survey Instrument</t>
  </si>
  <si>
    <t>Primary data from surveys of firms, investors, or managers.</t>
  </si>
  <si>
    <t>Machine Learning (non-NLP)</t>
  </si>
  <si>
    <t>Supervised/unsupervised ML on numeric or image data; not primarily text.</t>
  </si>
  <si>
    <t>Traditional Acct/Market Data</t>
  </si>
  <si>
    <t>Standard OLS regression or event study using COMPUSTAT, Bloomberg, CRSP.</t>
  </si>
  <si>
    <t>Mixed Methods</t>
  </si>
  <si>
    <t>When primary and secondary methods are equally important. Record both in method cols.</t>
  </si>
  <si>
    <t>Earnings Call Transcripts</t>
  </si>
  <si>
    <t>Quarterly/annual earnings call text (Refinitiv/LSEG, Bloomberg, SeekingAlpha).</t>
  </si>
  <si>
    <t>CDP / TCFD Reports</t>
  </si>
  <si>
    <t>Voluntary corporate climate disclosures submitted to CDP or aligned with TCFD.</t>
  </si>
  <si>
    <t>SEC / ESMA Filings</t>
  </si>
  <si>
    <t>Mandatory filings: 10-K, 10-Q, 20-F (SEC), or European equivalents.</t>
  </si>
  <si>
    <t>Satellite Imagery</t>
  </si>
  <si>
    <t>NASA, ESA, Planet Labs, or equivalent satellite data.</t>
  </si>
  <si>
    <t>Patent Databases</t>
  </si>
  <si>
    <t>USPTO, EPO, PATSTAT, Google Patents.</t>
  </si>
  <si>
    <t>News &amp; Media</t>
  </si>
  <si>
    <t>Newspaper articles, newswire feeds, financial media (WSJ, FT, Reuters).</t>
  </si>
  <si>
    <t>Official Statistics</t>
  </si>
  <si>
    <t>EPA emissions inventories, Eurostat, IEA energy data, national met agencies.</t>
  </si>
  <si>
    <t>Cross-val vs. Benchmark</t>
  </si>
  <si>
    <t>Scores validated against an established third-party benchmark (MSCI ESG, Trucost, Bloomberg ESG).</t>
  </si>
  <si>
    <t>Out-of-sample Return Pred.</t>
  </si>
  <si>
    <t>Validity via prediction of future stock/bond returns out-of-sample.</t>
  </si>
  <si>
    <t>Regression / Event Study</t>
  </si>
  <si>
    <t>OLS regression or event study around policy announcement or news event.</t>
  </si>
  <si>
    <t>No Formal Validation</t>
  </si>
  <si>
    <t>Measure introduced without external validation. Flag as potential limitation.</t>
  </si>
  <si>
    <t>TEMPORAL
DIMENSION</t>
  </si>
  <si>
    <t>Year of journal publication or working paper posting. Note: may differ substantially from dataset coverage.</t>
  </si>
  <si>
    <t>First year of data coverage. Mark '?' if unknown. Critical for look-ahead bias assessment.</t>
  </si>
  <si>
    <t>Last year of data coverage. Mark 'ongoing' if dataset is updated annually.</t>
  </si>
  <si>
    <t>GEOGRAPHICAL
DIMENSION</t>
  </si>
  <si>
    <t>Country/region of the corresponding author's institution at time of publication.</t>
  </si>
  <si>
    <t>Actual geographic coverage of the dataset — most important for prospective users. US / Europe / Global / Emerging Markets / Asia-Pacific.</t>
  </si>
  <si>
    <t>Free text for nuance: e.g. 'Global but 70% US firms', 'EU only post-2018', 'EM excl. China'.</t>
  </si>
  <si>
    <t>Data Publicly Available</t>
  </si>
  <si>
    <t>Y = freely downloadable. Partial = available on request or restricted to academics. N = fully proprietary.</t>
  </si>
  <si>
    <t>URL to dataset, GitHub repo, journal data appendix, or author website.</t>
  </si>
  <si>
    <t>Replication Code</t>
  </si>
  <si>
    <t>Y = code available. Partial = partial code/Stata/R scripts only. N = no code provided.</t>
  </si>
  <si>
    <t>TOPIC BINARY
(full phase)</t>
  </si>
  <si>
    <t>One column per topic</t>
  </si>
  <si>
    <t>In the full coding phase, replace the primary/secondary topic columns with 8 binary columns (one per topic). Mark Y if the paper addresses that topic at all — even as a secondary contribution. Leave blank if not. This allows multi-label coding and enables frequency heatmaps across topic × method dimensions.</t>
  </si>
  <si>
    <t>Journal / Source</t>
  </si>
  <si>
    <t>Initial Search
Results</t>
  </si>
  <si>
    <t>Est. After
Full-text Screen</t>
  </si>
  <si>
    <t>Notes</t>
  </si>
  <si>
    <t>Journal of Finance</t>
  </si>
  <si>
    <t>Journal of Financial Economics</t>
  </si>
  <si>
    <t>Review of Financial Studies</t>
  </si>
  <si>
    <t>Review of Finance</t>
  </si>
  <si>
    <t>Task</t>
  </si>
  <si>
    <t>Hours / Paper</t>
  </si>
  <si>
    <t>Est. Total Hours</t>
  </si>
  <si>
    <t>Title &amp; abstract screening</t>
  </si>
  <si>
    <t>Full-text reading &amp; coding</t>
  </si>
  <si>
    <t>~15 min per paper</t>
  </si>
  <si>
    <t>Gap analysis &amp; synthesis</t>
  </si>
  <si>
    <t>Writing</t>
  </si>
  <si>
    <t>Y</t>
  </si>
  <si>
    <t>Direct link</t>
  </si>
  <si>
    <t>Sean Shun Cao, G Andrew Karolyi, William W Xiong, Hui Xu, Biodiversity entrepreneurship, Review of Finance, Volume 30, Issue 1, January 2026, Pages 43–86, https://doi.org/10.1093/rof/rfaf062</t>
  </si>
  <si>
    <t>Stefano Giglio, Theresa Kuchler, Johannes Stroebel, Xuran Zeng, Biodiversity risk, Review of Finance, Volume 30, Issue 1, January 2026, Pages 131–161, https://doi.org/10.1093/rof/rfaf063</t>
  </si>
  <si>
    <t>Other</t>
  </si>
  <si>
    <t>Europe</t>
  </si>
  <si>
    <t>Global</t>
  </si>
  <si>
    <t>Firm-Year</t>
  </si>
  <si>
    <t>Partial</t>
  </si>
  <si>
    <t>US</t>
  </si>
  <si>
    <t>https://academic.oup.com/rof/article/30/1/87/8304747</t>
  </si>
  <si>
    <t>https://github.com/tengtedliu/financial_value_of_nature_mangrove</t>
  </si>
  <si>
    <t>Andre Poyser, Does financing biodiversity reduce biodiversity loss? Evidence from EU funding of science and innovation, Review of Finance, Volume 30, Issue 1, January 2026, Pages 273–319, https://doi.org/10.1093/rof/rfaf064</t>
  </si>
  <si>
    <t>https://academic.oup.com/rof/article/30/1/273/8315367</t>
  </si>
  <si>
    <t>https://www.biodiversityrisk.org/download/</t>
  </si>
  <si>
    <t>Social Media</t>
  </si>
  <si>
    <t>N</t>
  </si>
  <si>
    <t>Data Source (secondary)</t>
  </si>
  <si>
    <t>Short Title/ Keyword</t>
  </si>
  <si>
    <t>Journal</t>
  </si>
  <si>
    <t>PAPER ID</t>
  </si>
  <si>
    <t>P11</t>
  </si>
  <si>
    <t>P12</t>
  </si>
  <si>
    <t>P13</t>
  </si>
  <si>
    <t>P14</t>
  </si>
  <si>
    <t>P15</t>
  </si>
  <si>
    <t>P16</t>
  </si>
  <si>
    <t>P17</t>
  </si>
  <si>
    <t>P18</t>
  </si>
  <si>
    <t>P19</t>
  </si>
  <si>
    <t>P20</t>
  </si>
  <si>
    <t>P21</t>
  </si>
  <si>
    <t>P22</t>
  </si>
  <si>
    <t>P23</t>
  </si>
  <si>
    <t>P24</t>
  </si>
  <si>
    <t>P25</t>
  </si>
  <si>
    <t>P26</t>
  </si>
  <si>
    <t>P27</t>
  </si>
  <si>
    <t>P28</t>
  </si>
  <si>
    <t>P29</t>
  </si>
  <si>
    <t>P30</t>
  </si>
  <si>
    <t>P31</t>
  </si>
  <si>
    <t>P32</t>
  </si>
  <si>
    <t>P33</t>
  </si>
  <si>
    <t>P34</t>
  </si>
  <si>
    <t>P35</t>
  </si>
  <si>
    <t>P36</t>
  </si>
  <si>
    <t>P37</t>
  </si>
  <si>
    <t>P38</t>
  </si>
  <si>
    <t>P39</t>
  </si>
  <si>
    <t>P40</t>
  </si>
  <si>
    <t>P41</t>
  </si>
  <si>
    <t>P42</t>
  </si>
  <si>
    <t>P43</t>
  </si>
  <si>
    <t>P44</t>
  </si>
  <si>
    <t>P45</t>
  </si>
  <si>
    <t>P46</t>
  </si>
  <si>
    <t>P47</t>
  </si>
  <si>
    <t>P48</t>
  </si>
  <si>
    <t>P49</t>
  </si>
  <si>
    <t>P50</t>
  </si>
  <si>
    <t>P51</t>
  </si>
  <si>
    <t>P52</t>
  </si>
  <si>
    <t>P53</t>
  </si>
  <si>
    <t>P54</t>
  </si>
  <si>
    <t>P55</t>
  </si>
  <si>
    <t>P56</t>
  </si>
  <si>
    <t>P57</t>
  </si>
  <si>
    <t>P58</t>
  </si>
  <si>
    <t>P59</t>
  </si>
  <si>
    <t>P60</t>
  </si>
  <si>
    <t>P61</t>
  </si>
  <si>
    <t>P62</t>
  </si>
  <si>
    <t>P63</t>
  </si>
  <si>
    <t>P64</t>
  </si>
  <si>
    <t>P65</t>
  </si>
  <si>
    <t>P66</t>
  </si>
  <si>
    <t>P67</t>
  </si>
  <si>
    <t>P68</t>
  </si>
  <si>
    <t>P69</t>
  </si>
  <si>
    <t>P70</t>
  </si>
  <si>
    <t>P71</t>
  </si>
  <si>
    <t>P72</t>
  </si>
  <si>
    <t>P73</t>
  </si>
  <si>
    <t>P74</t>
  </si>
  <si>
    <t>P75</t>
  </si>
  <si>
    <t>P76</t>
  </si>
  <si>
    <t>P77</t>
  </si>
  <si>
    <t>P78</t>
  </si>
  <si>
    <t>P79</t>
  </si>
  <si>
    <t>P80</t>
  </si>
  <si>
    <t>P81</t>
  </si>
  <si>
    <t>P82</t>
  </si>
  <si>
    <t>P83</t>
  </si>
  <si>
    <t>P84</t>
  </si>
  <si>
    <t>P85</t>
  </si>
  <si>
    <t>P86</t>
  </si>
  <si>
    <t>P87</t>
  </si>
  <si>
    <t>P88</t>
  </si>
  <si>
    <t>P89</t>
  </si>
  <si>
    <t>P90</t>
  </si>
  <si>
    <t>P91</t>
  </si>
  <si>
    <t>P92</t>
  </si>
  <si>
    <t>P93</t>
  </si>
  <si>
    <t>P94</t>
  </si>
  <si>
    <t>P95</t>
  </si>
  <si>
    <t>P96</t>
  </si>
  <si>
    <t>P97</t>
  </si>
  <si>
    <t>P98</t>
  </si>
  <si>
    <t>P99</t>
  </si>
  <si>
    <t>P100</t>
  </si>
  <si>
    <t>P101</t>
  </si>
  <si>
    <t>P102</t>
  </si>
  <si>
    <t>P103</t>
  </si>
  <si>
    <t>P104</t>
  </si>
  <si>
    <t>P105</t>
  </si>
  <si>
    <t>P106</t>
  </si>
  <si>
    <t>P107</t>
  </si>
  <si>
    <t>P108</t>
  </si>
  <si>
    <t>P109</t>
  </si>
  <si>
    <t>Could be open-source
(Y/N/Partial)</t>
  </si>
  <si>
    <t xml:space="preserve">Journal of Finance </t>
  </si>
  <si>
    <t>LIANG, H. and RENNEBOOG, L. (2017), On the Foundations of Corporate Social Responsibility. The Journal of Finance, 72: 853-910. https://doi.org/10.1111/jofi.12487</t>
  </si>
  <si>
    <t>Corporate social responsability foundation</t>
  </si>
  <si>
    <t>CSR ratings from 23000 companies from 114 countries</t>
  </si>
  <si>
    <t>https://onlinelibrary.wiley.com/doi/10.1111/jofi.12487</t>
  </si>
  <si>
    <t>Market Data</t>
  </si>
  <si>
    <t>CSR ratings</t>
  </si>
  <si>
    <t>LINS, K.V., SERVAES, H. and TAMAYO, A. (2017), Social Capital, Trust, and Firm Performance: The Value of Corporate Social Responsibility during the Financial Crisis. The Journal of Finance, 72: 1785-1824. https://doi.org/10.1111/jofi.12505</t>
  </si>
  <si>
    <t>impact of CSR on performance during financial crisis</t>
  </si>
  <si>
    <t>Description of data</t>
  </si>
  <si>
    <t xml:space="preserve">performance and CSR ratings non financial firms during financial crisis </t>
  </si>
  <si>
    <t>https://onlinelibrary.wiley.com/doi/10.1111/jofi.12505</t>
  </si>
  <si>
    <t>CSR</t>
  </si>
  <si>
    <t xml:space="preserve">ESG ratings </t>
  </si>
  <si>
    <t>RIEDL, A. and SMEETS, P. (2017), Why Do Investors Hold Socially Responsible Mutual Funds?. The Journal of Finance, 72: 2505-2550. https://doi.org/10.1111/jofi.12547</t>
  </si>
  <si>
    <t xml:space="preserve"> Socially Responsible Mutual Funds attractiveness</t>
  </si>
  <si>
    <t xml:space="preserve">adminstrative data linked to survey and behavioural experiment </t>
  </si>
  <si>
    <t>https://onlinelibrary.wiley.com/doi/10.1111/jofi.12547</t>
  </si>
  <si>
    <t xml:space="preserve">Behavioural experiment </t>
  </si>
  <si>
    <t>Survey Data</t>
  </si>
  <si>
    <t>Experiment</t>
  </si>
  <si>
    <t>Other / Regional</t>
  </si>
  <si>
    <t>One company in Netherlands</t>
  </si>
  <si>
    <t>Natural experiment</t>
  </si>
  <si>
    <t>HARTZMARK, S.M. and SUSSMAN, A.B. (2019), Do Investors Value Sustainability? A Natural Experiment Examining Ranking and Fund Flows. The Journal of Finance, 74: 2789-2837. https://doi.org/10.1111/jofi.12841</t>
  </si>
  <si>
    <t>Investor value sustainbility</t>
  </si>
  <si>
    <t xml:space="preserve">Natural experiment </t>
  </si>
  <si>
    <t>priopretary esg ratings</t>
  </si>
  <si>
    <t>SAUTNER, Z., VAN LENT, L., VILKOV, G. and ZHANG, R. (2023), Firm-Level Climate Change Exposure. J Finance, 78: 1449-1498. https://doi.org/10.1111/jofi.13219</t>
  </si>
  <si>
    <t>https://onlinelibrary.wiley.com/doi/10.1111/jofi.12841</t>
  </si>
  <si>
    <t>Fund flow data after intoduction of sailent Sustainability rating</t>
  </si>
  <si>
    <t>https://onlinelibrary.wiley.com/doi/10.1111/jofi.13219</t>
  </si>
  <si>
    <t>Earnings Call transcripts</t>
  </si>
  <si>
    <t>https://osf.io/fd6jq/overview</t>
  </si>
  <si>
    <t>Firm-level panel of climate-change exposure measures built on earning calls keywords</t>
  </si>
  <si>
    <t>Bolton, P., &amp; Kacperczyk, M. (2023). Global Pricing of Carbon-Transition Risk. Journal of Finance, 78(6), 3677–3754.</t>
  </si>
  <si>
    <t>Carbon premium / global / Trucost emissions</t>
  </si>
  <si>
    <t>Climate &amp; environmental data — emissions inventories (Trucost)</t>
  </si>
  <si>
    <t>14,400 firms in 77 countries; three continents (Asia, Europe, North America)</t>
  </si>
  <si>
    <t>Cross-section of carbon premia in global stock returns.</t>
  </si>
  <si>
    <t xml:space="preserve">https://onlinelibrary.wiley.com/doi/10.1111/jofi.13272 </t>
  </si>
  <si>
    <t>Standard Econometrics Accounting / Market Data</t>
  </si>
  <si>
    <t>Proprietary Database</t>
  </si>
  <si>
    <t>ZHANG, S. (2025), Carbon Returns across the Globe. J Finance, 80: 615-645. https://doi.org/10.1111/jofi.13402</t>
  </si>
  <si>
    <t>KRUTTLI, M.S., TRAN, B.R. and WATUGALA, S.W. (2025), Pricing Poseidon: Extreme Weather Uncertainty and Firm Return Dynamics. J Finance, 80: 783-832. https://doi.org/10.1111/jofi.13416</t>
  </si>
  <si>
    <t>DUCHIN, R., GAO, J. and XU, Q. (2025), Sustainability or Greenwashing: Evidence from the Asset Market for Industrial Pollution. J Finance, 80: 699-754. https://doi.org/10.1111/jofi.13412</t>
  </si>
  <si>
    <t>https://onlinelibrary.wiley.com/doi/10.1111/jofi.13498</t>
  </si>
  <si>
    <t>DERRIEN, F., KRÜGER, P., LANDIER, A. and YAO, T. (2025), ESG News, Future Cash Flows, and Firm Value. J Finance, 80: 3499-3554. https://doi.org/10.1111/jofi.13498</t>
  </si>
  <si>
    <t>https://onlinelibrary.wiley.com/doi/10.1111/jofi.13499</t>
  </si>
  <si>
    <t>PARISE, G. and RUBIN, M. (2025), Green Window Dressing. J Finance, 80: 3555-3588. https://doi.org/10.1111/jofi.13499</t>
  </si>
  <si>
    <t>https://onlinelibrary.wiley.com/doi/10.1111/jofi.70029</t>
  </si>
  <si>
    <t>https://onlinelibrary.wiley.com/doi/10.1111/jofi.70004</t>
  </si>
  <si>
    <t>ALLCOTT, H., MONTANARI, G., OZALTUN, B. and TAN, B. (2026), An Economic View of Corporate Social Impact. J Finance, 81: 285-328. https://doi.org/10.1111/jofi.70004</t>
  </si>
  <si>
    <t>https://onlinelibrary.wiley.com/doi/10.1111/jofi.70008</t>
  </si>
  <si>
    <t>STARKS, L.T., VENKAT, P. and ZHU, Q. (2026), Corporate ESG Profiles and Investor Horizons. J Finance, 81: 603-642. https://doi.org/10.1111/jofi.70008</t>
  </si>
  <si>
    <t>Nickolay Gantchev, Mariassunta Giannetti, Rachel Li, Does Money Talk? Divestitures and Corporate Environmental and Social Policies, Review of Finance, Volume 26, Issue 6, November 2022, Pages 1469–1508, https://doi.org/10.1093/rof/rfac029</t>
  </si>
  <si>
    <t>https://doi.org/10.1093/rof/rfac029</t>
  </si>
  <si>
    <t>Olivier David Zerbib, A Sustainable Capital Asset Pricing Model (S-CAPM): Evidence from Environmental Integration and Sin Stock Exclusion, Review of Finance, Volume 26, Issue 6, November 2022, Pages 1345–1388, https://doi.org/10.1093/rof/rfac045</t>
  </si>
  <si>
    <t>https://doi.org/10.1093/rof/rfac045</t>
  </si>
  <si>
    <t>Duc Duy Nguyen, Steven Ongena, Shusen Qi, Vathunyoo Sila, Climate Change Risk and the Cost of Mortgage Credit, Review of Finance, Volume 26, Issue 6, November 2022, Pages 1509–1549, https://doi.org/10.1093/rof/rfac013</t>
  </si>
  <si>
    <t>https://doi.org/10.1093/rof/rfac013</t>
  </si>
  <si>
    <t>Hao Liang, Lin Sun, Melvyn Teo, Responsible Hedge Funds, Review of Finance, Volume 26, Issue 6, November 2022, Pages 1585–1633, https://doi.org/10.1093/rof/rfac028</t>
  </si>
  <si>
    <t>https://doi.org/10.1093/rof/rfac028</t>
  </si>
  <si>
    <t>Florian Berg, Julian F Kölbel, Roberto Rigobon, Aggregate Confusion: The Divergence of ESG Ratings, Review of Finance, Volume 26, Issue 6, November 2022, Pages 1315–1344, https://doi.org/10.1093/rof/rfac033</t>
  </si>
  <si>
    <t>https://doi.org/10.1093/rof/rfac033</t>
  </si>
  <si>
    <t>Rajna Gibson Brandon, Simon Glossner, Philipp Krueger, Pedro Matos, Tom Steffen, Do Responsible Investors Invest Responsibly?, Review of Finance, Volume 26, Issue 6, November 2022, Pages 1389–1432, https://doi.org/10.1093/rof/rfac064</t>
  </si>
  <si>
    <t>https://doi.org/10.1093/rof/rfac064</t>
  </si>
  <si>
    <t>Davidson Heath, Daniele Macciocchi, Roni Michaely, Matthew C. Ringgenberg, Does Socially Responsible Investing Change Firm Behavior?, Review of Finance, Volume 27, Issue 6, November 2023, Pages 2057–2083, https://doi.org/10.1093/rof/rfad002</t>
  </si>
  <si>
    <t>Jitendra Aswani, Aneesh Raghunandan, Shiva Rajgopal, Are Carbon Emissions Associated with Stock Returns?, Review of Finance, Volume 28, Issue 1, January 2024, Pages 75–106, https://doi.org/10.1093/rof/rfad013</t>
  </si>
  <si>
    <t>https://doi.org/10.1093/rof/rfad013</t>
  </si>
  <si>
    <t>Andreas G F Hoepner, Ioannis Oikonomou, Zacharias Sautner, Laura T Starks, Xiao Y Zhou, ESG shareholder engagement and downside risk, Review of Finance, Volume 28, Issue 2, March 2024, Pages 483–510, https://doi.org/10.1093/rof/rfad034</t>
  </si>
  <si>
    <t>https://doi.org/10.1093/rof/rfad034</t>
  </si>
  <si>
    <t>Runfeng Yang, Massimiliano Caporin, Juan-Angel Jiménez-Martin, Measuring Climate Transition Risk Spillovers, Review of Finance, Volume 28, Issue 2, March 2024, Pages 447–481, https://doi.org/10.1093/rof/rfad026</t>
  </si>
  <si>
    <t>https://doi.org/10.1093/rof/rfad026</t>
  </si>
  <si>
    <t>Audra Boone, Austin Starkweather, Joshua T White, The saliency of the CEO pay ratio, Review of Finance, Volume 28, Issue 3, May 2024, Pages 1059–1104, https://doi.org/10.1093/rof/rfad039</t>
  </si>
  <si>
    <t>Alexandre Garel, Arthur Romec, Zacharias Sautner, Alexander F Wagner, Do investors care about biodiversity?, Review of Finance, Volume 28, Issue 4, July 2024, Pages 1151–1186, https://doi.org/10.1093/rof/rfae010</t>
  </si>
  <si>
    <t>https://doi.org/10.1093/rof/rfae010</t>
  </si>
  <si>
    <t>Roni Michaely, Guillem Ordonez-Calafi, Silvina Rubio, Mutual funds’ strategic voting on environmental and social issues, Review of Finance, Volume 28, Issue 5, September 2024, Pages 1575–1610, https://doi.org/10.1093/rof/rfae017</t>
  </si>
  <si>
    <t>https://doi.org/10.1093/rof/rfae017</t>
  </si>
  <si>
    <t>Amanda Heitz, Youan Wang, Zigan Wang, The power of the people: labor unions and corporate social responsibility, Review of Finance, Volume 28, Issue 6, November 2024, Pages 1833–1879, https://doi.org/10.1093/rof/rfae018</t>
  </si>
  <si>
    <t>https://doi.org/10.1093/rof/rfae018</t>
  </si>
  <si>
    <t>Eliezer M Fich, Guosong Xu, Do salient climatic risks affect shareholder voting?, Review of Finance, Volume 29, Issue 2, March 2025, Pages 567–602, https://doi.org/10.1093/rof/rfaf003</t>
  </si>
  <si>
    <t>https://doi.org/10.1093/rof/rfaf003</t>
  </si>
  <si>
    <t>Hao Liang, Cara Vansteenkiste, Disaster Relief, Inc.: when is corporate philanthropy good or bad for shareholders?, Review of Finance, Volume 29, Issue 3, May 2025, Pages 851–886, https://doi.org/10.1093/rof/rfaf007</t>
  </si>
  <si>
    <t>https://doi.org/10.1093/rof/rfaf007</t>
  </si>
  <si>
    <t>Alessandro Moro, Andrea Zaghini, The green sin: how exchange rate volatility and financial openness affect green premia, Review of Finance, Volume 29, Issue 4, July 2025, Pages 1189–1217, https://doi.org/10.1093/rof/rfaf024</t>
  </si>
  <si>
    <t>https://doi.org/10.1093/rof/rfaf024</t>
  </si>
  <si>
    <t>Lin William Cong, Yuanyu Qu, Guojun Wang, Blockchains for environmental monitoring: theory and empirical evidence from China, Review of Finance, Volume 29, Issue 5, September 2025, Pages 1303–1336, https://doi.org/10.1093/rof/rfaf033</t>
  </si>
  <si>
    <t>https://doi.org/10.1093/rof/rfaf033</t>
  </si>
  <si>
    <t>Jess Cornaggia, Yu-Hsuan (Jennifer) Liang, Peter Iliev, Qiang Wang, Biodiversity and local asset values, Review of Finance, Volume 30, Issue 1, January 2026, Pages 391–421, https://doi.org/10.1093/rof/rfaf051</t>
  </si>
  <si>
    <t>https://academic.oup.com/rof/article/30/1/391/8286335#548122822</t>
  </si>
  <si>
    <t>Massimo Guidolin, Manuela Pedio, The pricing of biodiversity risk in commodity markets, Review of Finance, Volume 30, Issue 1, January 2026, Pages 351–389, https://doi.org/10.1093/rof/rfaf068</t>
  </si>
  <si>
    <t>https://academic.oup.com/rof/article/30/1/351/8316107</t>
  </si>
  <si>
    <t>https://academic.oup.com/rof/article/30/1/321/8362620</t>
  </si>
  <si>
    <t>Franklin Allen, Patrick Behr, Riccardo Cosenza, Eric Nowak, Do investors care about the rainforest? Evidence from voluntary carbon offsets around the world, Review of Finance, Volume 30, Issue 1, January 2026, Pages 321–349, https://doi.org/10.1093/rof/rfaf059</t>
  </si>
  <si>
    <t>Alexandre Garel, Arthur Romec, Zacharias Sautner, Alexander Wagner, Firm-level nature dependence, Review of Finance, Volume 30, Issue 1, January 2026, Pages 231–272, https://doi.org/10.1093/rof/rfaf069</t>
  </si>
  <si>
    <t>https://academic.oup.com/rof/article/30/1/231/8316106</t>
  </si>
  <si>
    <t>Amir Akbari, Lilian Ng, Man Duy (Marty) Pham, Jing Yu, The real effects of protecting biodiversity, Review of Finance, Volume 30, Issue 1, January 2026, Pages 193–230, https://doi.org/10.1093/rof/rfaf055</t>
  </si>
  <si>
    <t>https://academic.oup.com/rof/article/30/1/193/8304741</t>
  </si>
  <si>
    <t>https://academic.oup.com/rof/article/30/1/131/8307061</t>
  </si>
  <si>
    <t>Teng Liu, Brook Constantz, Galina Hale, Michael W Beck, Financial value of nature: coastal housing markets, mangroves, and climate resilience, Review of Finance, Volume 30, Issue 1, January 2026, Pages 87–129, https://doi.org/10.1093/rof/rfaf061</t>
  </si>
  <si>
    <t>https://academic.oup.com/rof/article/30/1/43/8303924</t>
  </si>
  <si>
    <t>Snorre Gjerde, Zacharias Sautner, Alexander F Wagner, Alexis Wegerich, Corporate nature risk perceptions, Review of Finance, Volume 30, Issue 1, January 2026, Pages 11–42, https://doi.org/10.1093/rof/rfaf050</t>
  </si>
  <si>
    <t>https://academic.oup.com/rof/article/30/1/11/8322449</t>
  </si>
  <si>
    <t>René Bernard, Panagiota Tzamourani, Michael Weber, Climate change and individual behavior, Review of Finance, Volume 30, Issue 2, March 2026, Pages 571–596, https://doi.org/10.1093/rof/rfaf053</t>
  </si>
  <si>
    <t>https://academic.oup.com/rof/article/30/2/571/8381550</t>
  </si>
  <si>
    <t>Zoey Yiyuan Zhou, Douglas Almond, Biodiversity co-benefits in carbon markets? Evidence from voluntary offset projects, Review of Finance, Volume 30, Issue 2, March 2026, Pages 537–570, https://doi.org/10.1093/rof/rfaf066</t>
  </si>
  <si>
    <t>https://academic.oup.com/rof/article/30/2/537/8317468</t>
  </si>
  <si>
    <t>https://academic.oup.com/rof/article/30/2/423/8304746</t>
  </si>
  <si>
    <t>Markus Leippold, Tingyu Yu, Firm-level green innovation beyond patents, Review of Finance, Volume 30, Issue 2, March 2026, Pages 423–458, https://doi.org/10.1093/rof/rfaf058</t>
  </si>
  <si>
    <t>Carbon premium / Trucost emissions / global</t>
  </si>
  <si>
    <t>Cross-sectional carbon return estimates accounting for emissions data release lags, built from S&amp;P Trucost Scope 1/2 emissions merged with CRSP/Compustat (US) and Compustat Global, covering ~14,400 firms in 77 countries, 2009–2021.</t>
  </si>
  <si>
    <t>S&amp;P Trucost emissions database; CRSP, Compustat, Compustat Global</t>
  </si>
  <si>
    <t>~14,400 firms in 77 countries; matched Trucost–CRSP/Compustat sample</t>
  </si>
  <si>
    <t xml:space="preserve">https://onlinelibrary.wiley.com/doi/10.1111/jofi.13402 </t>
  </si>
  <si>
    <t>Hurricanes / physical risk / options</t>
  </si>
  <si>
    <t>Firm-level analysis of stock and options market reactions to hurricane events, built from NOAA hurricane forecasts, FEMA disaster declarations, NETS firm establishment data, OptionMetrics, CRSP, and earnings call transcripts, covering Atlantic/Gulf hurricane events 1996–2019.</t>
  </si>
  <si>
    <t>Weather &amp; Hazard</t>
  </si>
  <si>
    <t>NOAA hurricane forecasts + FEMA disaster declarations; OptionMetrics + CRSP; NETS establishment data; earnings call transcripts</t>
  </si>
  <si>
    <t>US firms with establishments in Atlantic/Gulf coast hurricane landfall regions</t>
  </si>
  <si>
    <t xml:space="preserve">https://onlinelibrary.wiley.com/doi/10.1111/jofi.13416 </t>
  </si>
  <si>
    <t>Public Data used in the replication code file</t>
  </si>
  <si>
    <t>Greenwashing / pollution / divestiture</t>
  </si>
  <si>
    <t>Plant-level dataset of 888 industrial divestitures linking SDC M&amp;A deals with EPA Toxic Release Inventory pollution data, NETS plant employment, and KLD/Refinitiv/MSCI ESG ratings, covering US firms 2000–2020.</t>
  </si>
  <si>
    <t>Conference call textual analysis (secondary)</t>
  </si>
  <si>
    <t>EPA Toxic Release Inventory (public); SDC M&amp;A; NETS; KLD/Refinitiv/MSCI ESG ratings</t>
  </si>
  <si>
    <t>888 industrial plant divestitures; US public + private firms with TRI plants</t>
  </si>
  <si>
    <t>EPA TRI: https://www.epa.gov/toxics-release-inventory-tri-program</t>
  </si>
  <si>
    <t xml:space="preserve">https://onlinelibrary.wiley.com/doi/10.1111/jofi.13412 </t>
  </si>
  <si>
    <t>RepRisk ESG incidents / analyst forecasts</t>
  </si>
  <si>
    <t>Morningstar globe sustainability ratings; Sustainalytics ESG scores; S&amp;P Trucost emissions</t>
  </si>
  <si>
    <t>223 US ESG mutual funds + 5,793 non-ESG funds; sample starts March 2016 (Morningstar globe ratings introduction)</t>
  </si>
  <si>
    <t>Portfolio-Level</t>
  </si>
  <si>
    <t>Green window dressing / mutual funds / ESG ratings</t>
  </si>
  <si>
    <t>Fund-level analysis of strategic timing of ESG holdings around mandatory disclosure dates, built from CRSP mutual funds, Morningstar/Sustainalytics sustainability ratings, and Trucost emissions, covering 223 ESG and 5,793 non-ESG US equity mutual funds, March 2016 – December 2022.</t>
  </si>
  <si>
    <t>Firm-month panel matching RepRisk negative ESG incidents to IBES analyst earnings forecast revisions to test whether analysts revise forecasts after ESG news, covering global public firms 2008–2019.</t>
  </si>
  <si>
    <t>RepRisk ESG incident database (firm-day); IBES analyst earnings forecasts</t>
  </si>
  <si>
    <t>Global panel of public firms with RepRisk and IBES coverage; matched via ISIN</t>
  </si>
  <si>
    <t>Climate insurance / regulation / cross-subsidies</t>
  </si>
  <si>
    <t>State–insurer–year panel of US homeowners insurance underwriting and rate filings, built from S&amp;P Market Intelligence (premiums, losses, balance sheets), Insure.com homeowners premiums, and NAIC regulatory filings; uses IV and border-discontinuity designs to identify regulatory effects on rates.</t>
  </si>
  <si>
    <t>S&amp;P Market Intelligence insurance underwriting; Insure.com homeowners premiums; NAIC regulatory filings</t>
  </si>
  <si>
    <t>US homeowners insurance ($15 trillion market); state–insurer–year panel</t>
  </si>
  <si>
    <t>Social impact / consumer surplus / impact investing</t>
  </si>
  <si>
    <t>Custom survey of consumer and worker substitution patterns combined with structural product- and labor-market models to estimate the welfare loss if a firm exited, applied to 74 firms across 12 industries.</t>
  </si>
  <si>
    <t>Custom survey on consumer/worker substitution patterns; product- and labor-market models</t>
  </si>
  <si>
    <t>74 firms across 12 industries; survey of US consumers and workers</t>
  </si>
  <si>
    <t>ESG profiles / investor horizons / institutional ownership</t>
  </si>
  <si>
    <t>Firm-level panel linking institutional ownership (13F filings) with firm-level ESG ratings and ES incidents, testing whether long-horizon investors prefer high-ESG firms and react differently to negative ES events vs. earnings news.</t>
  </si>
  <si>
    <t>13F institutional holdings; ESG ratings (e.g., MSCI/Refinitiv); RepRisk ES incidents</t>
  </si>
  <si>
    <t>US-listed firms; institutional ownership via 13F; ESG-rated firms only</t>
  </si>
  <si>
    <t>SEC Filings</t>
  </si>
  <si>
    <t>Theoretical model + empirical calibration</t>
  </si>
  <si>
    <t>Divestitures / E&amp;S incidents / institutional ownership</t>
  </si>
  <si>
    <t>Firm-level analysis testing whether E&amp;S-conscious institutional investors' divestitures and exit threats induce changes in firms' E&amp;S policies, built from RepRisk ESG incidents linked to FactSet/13F institutional holdings, executive compensation data, and ESG ratings, covering global firms.</t>
  </si>
  <si>
    <t>RepRisk ESG incidents; FactSet/13F institutional holdings; ESG ratings; executive compensation</t>
  </si>
  <si>
    <t>Global firms with RepRisk coverage and institutional ownership data</t>
  </si>
  <si>
    <t>Sustainable CAPM / sin stocks / green premium</t>
  </si>
  <si>
    <t>Theoretical extension of CAPM incorporating sustainable preferences (exclusionary screening and ESG integration), with empirical calibration of sin-stock and green premia using US equity returns and ESG/sin classifications.</t>
  </si>
  <si>
    <t>CRSP/Compustat market and accounting data; MSCI ESG ratings; sin-stock industry classifications</t>
  </si>
  <si>
    <t>US-listed equities; calibration uses standard US asset pricing test assets</t>
  </si>
  <si>
    <t>On Demand</t>
  </si>
  <si>
    <t>odzerbib@gmail.com</t>
  </si>
  <si>
    <t>Sea level rise / mortgage rates / physical risk</t>
  </si>
  <si>
    <t>Loan-level US residential mortgage panel testing whether lenders price sea-level-rise (SLR) exposure, built from HMDA mortgage applications matched to NOAA SLR risk data and property location data, covering US originations 2018–2020.</t>
  </si>
  <si>
    <t>NOAA Sea Level Rise viewer / hazard exposure; HMDA mortgage application data</t>
  </si>
  <si>
    <t>US residential mortgage applications in coastal counties exposed to sea-level rise</t>
  </si>
  <si>
    <t>HMDA: https://www.consumerfinance.gov/data-research/hmda/; NOAA SLR viewer: https://coast.noaa.gov/slr/
NOAA SLR:
https://coast.noaa.gov/digitalcoast/tools/slr.html</t>
  </si>
  <si>
    <t>Hedge funds / UN PRI signatories / responsible investing</t>
  </si>
  <si>
    <t>Hedge fund-level panel testing whether UN PRI signatory hedge funds outperform and behave more responsibly, built from a major commercial hedge fund database (e.g., HFR, TASS, Eurekahedge) merged with UN PRI signatory list and SEC ADV filings.</t>
  </si>
  <si>
    <t>Hedge fund commercial databases (HFR, TASS, Eurekahedge); UN PRI signatory list; SEC Form ADV</t>
  </si>
  <si>
    <t>Global hedge funds reporting to commercial databases</t>
  </si>
  <si>
    <t>UN PRI signatories: https://www.unpri.org/signatories
SEC ADV:
 https://adviserinfo.sec.gov/</t>
  </si>
  <si>
    <t>ESG rating divergence / six raters</t>
  </si>
  <si>
    <t>Cross-rater comparison of ESG ratings from six providers (KLD, Sustainalytics, Moody's ESG/Vigeo-Eiris, S&amp;P Global/RobecoSAM, Refinitiv/Asset4, MSCI), decomposing pairwise rating divergence into scope, measurement, and weight contributions using a common taxonomy of indicators; baseline year 2014.</t>
  </si>
  <si>
    <t>Meta-Analysis / Systematic Review</t>
  </si>
  <si>
    <t>KLD, Sustainalytics, Moody's ESG (Vigeo-Eiris), S&amp;P Global (RobecoSAM), Refinitiv (Asset4), MSCI ESG ratings</t>
  </si>
  <si>
    <t>Common-sample firms covered by all six raters; baseline year 2014</t>
  </si>
  <si>
    <t>2014
2017</t>
  </si>
  <si>
    <t>UN PRI signatories / institutional portfolios / ESG holdings</t>
  </si>
  <si>
    <t>Institutional investor-level analysis testing whether UN PRI signatories actually hold portfolios with better ESG profiles, built from FactSet/13F institutional holdings linked to UN PRI signatory data, MSCI ESG ratings, and Sustainalytics ratings, covering global institutional investors.</t>
  </si>
  <si>
    <t>FactSet/13F institutional holdings; UN PRI signatory list; MSCI ESG ratings; Sustainalytics ratings</t>
  </si>
  <si>
    <t>Global institutional investors; portfolio-level ESG profiles</t>
  </si>
  <si>
    <t>UN PRI signatories: https://www.unpri.org/signatories
https://www.unpri.org/sustainability-issues/research.</t>
  </si>
  <si>
    <t>SRI funds / firm behavior / shareholder proposals</t>
  </si>
  <si>
    <t>Fund- and firm-level analysis testing whether SRI mutual fund holdings cause changes in firm pollution, board diversity, employee satisfaction, and workplace safety, built from CRSP mutual funds + Morningstar SRI classifications, EPA TRI pollution data, BoardEx, Glassdoor employee data, OSHA workplace safety, and shareholder proposal data, covering US firms.</t>
  </si>
  <si>
    <t>EPA Toxic Release Inventory; OSHA workplace safety; CRSP mutual funds; Morningstar SRI classifications; BoardEx; Glassdoor; shareholder proposal data</t>
  </si>
  <si>
    <t>US-listed firms with mutual fund holdings and ESG outcome data</t>
  </si>
  <si>
    <t>EPA: 
 https://www.epa.gov/toxics-release-inventory-tri-program
 OSHA: 
https://www.osha.gov/data</t>
  </si>
  <si>
    <t>Carbon emissions / stock returns / Trucost estimated vs disclosed</t>
  </si>
  <si>
    <t>Re-examination of carbon-return correlations distinguishing vendor-estimated vs firm-disclosed emissions, built from S&amp;P Trucost emissions (with estimated/disclosed flag) merged with CRSP/Compustat returns and accounting data, covering US firms (with European validation), 2005–2019.</t>
  </si>
  <si>
    <t>S&amp;P Trucost emissions (estimated and disclosed); CRSP/Compustat</t>
  </si>
  <si>
    <t>US main sample with European validation sample</t>
  </si>
  <si>
    <t>ESG engagement / downside risk / VaR</t>
  </si>
  <si>
    <t>Firm-level panel testing whether ESG shareholder engagements reduce downside risk (VaR, lower partial moments), built from a proprietary ESG engagement database from a large institutional investor (Federated Hermes) linked to CRSP/Compustat returns and RepRisk environmental incidents.</t>
  </si>
  <si>
    <t>Proprietary ESG engagement database (Federated Hermes / EOS); CRSP/Compustat returns; RepRisk environmental incidents</t>
  </si>
  <si>
    <t>Global firms targeted by Federated Hermes ESG engagements</t>
  </si>
  <si>
    <t>Transition risk spillovers / six markets / network</t>
  </si>
  <si>
    <t>Cross-country panel measuring climate transition risk spillovers among six major financial markets (US, Japan, China, plus three others), built from listed-firm equity returns and transition-risk shock proxies (e.g., carbon-intensive vs green portfolio returns), 2013–2021.</t>
  </si>
  <si>
    <t>Listed-firm equity returns from major markets; transition risk proxy portfolios</t>
  </si>
  <si>
    <t>Country-Year</t>
  </si>
  <si>
    <t>Theory / employee matching grants / charitable giving</t>
  </si>
  <si>
    <t>Theoretical model of corporate employee charitable matching grant schemes as a coordination device for public-good giving, motivated by US corporate giving statistics ($20.77B in 2017) and matching-grant prevalence among S&amp;P 1500 firms; no novel empirical dataset.</t>
  </si>
  <si>
    <t>Theoretical model with stylized facts</t>
  </si>
  <si>
    <t>No novel empirical dataset; references aggregate US corporate giving statistics</t>
  </si>
  <si>
    <t>US corporate giving and S&amp;P 1500 firms (referenced in motivation only)</t>
  </si>
  <si>
    <t>Sophie A Shive, Margaret M Forster, Corporate Governance and Pollution Externalities of Public and Private Firms, The Review of Financial Studies, Volume 33, Issue 3, March 2020, Pages 1296–1330, https://doi.org/10.1093/rfs/hhz079</t>
  </si>
  <si>
    <t>https://doi.org/10.1093/rfs/hhz079</t>
  </si>
  <si>
    <t>Markus Baldauf, Lorenzo Garlappi, Constantine Yannelis, Does Climate Change Affect Real Estate Prices? Only If You Believe In It, The Review of Financial Studies, Volume 33, Issue 3, March 2020, Pages 1256–1295, https://doi.org/10.1093/rfs/hhz073</t>
  </si>
  <si>
    <t>https://doi.org/10.1093/rfs/hhz073</t>
  </si>
  <si>
    <t>Justin Murfin, Matthew Spiegel, Is the Risk of Sea Level Rise Capitalized in Residential Real Estate?, The Review of Financial Studies, Volume 33, Issue 3, March 2020, Pages 1217–1255, https://doi.org/10.1093/rfs/hhz134</t>
  </si>
  <si>
    <t>https://doi.org/10.1093/rfs/hhz134</t>
  </si>
  <si>
    <t>Robert F Engle, Stefano Giglio, Bryan Kelly, Heebum Lee, Johannes Stroebel, Hedging Climate Change News, The Review of Financial Studies, Volume 33, Issue 3, March 2020, Pages 1184–1216, https://doi.org/10.1093/rfs/hhz072</t>
  </si>
  <si>
    <t>https://doi.org/10.1093/rfs/hhz072</t>
  </si>
  <si>
    <t>Darwin Choi, Zhenyu Gao, Wenxi Jiang, Attention to Global Warming, The Review of Financial Studies, Volume 33, Issue 3, March 2020, Pages 1112–1145, https://doi.org/10.1093/rfs/hhz086</t>
  </si>
  <si>
    <t> https://doi.org/10.1093/rfs/hhz086</t>
  </si>
  <si>
    <t>Emirhan Ilhan, Zacharias Sautner, Grigory Vilkov, Carbon Tail Risk, The Review of Financial Studies, Volume 34, Issue 3, March 2021, Pages 1540–1571, https://doi.org/10.1093/rfs/hhaa071</t>
  </si>
  <si>
    <t>https://doi.org/10.1093/rfs/hhaa071</t>
  </si>
  <si>
    <t>Stefano Giglio, Matteo Maggiori, Krishna Rao, Johannes Stroebel, Andreas Weber, Climate Change and Long-Run Discount Rates: Evidence from Real Estate, The Review of Financial Studies, Volume 34, Issue 8, August 2021, Pages 3527–3571, https://doi.org/10.1093/rfs/hhab032</t>
  </si>
  <si>
    <t>https://doi.org/10.1093/rfs/hhab032</t>
  </si>
  <si>
    <t>Rob Bauer, Tobias Ruof, Paul Smeets, Get Real! Individuals Prefer More Sustainable Investments, The Review of Financial Studies, Volume 34, Issue 8, August 2021, Pages 3976–4043, https://doi.org/10.1093/rfs/hhab037</t>
  </si>
  <si>
    <t>https://doi.org/10.1093/rfs/hhab037</t>
  </si>
  <si>
    <t>Ravi Bansal, Di (Andrew) Wu, Amir Yaron, Socially Responsible Investing in Good and Bad Times, The Review of Financial Studies, Volume 35, Issue 4, April 2022, Pages 2067–2099, https://doi.org/10.1093/rfs/hhab072</t>
  </si>
  <si>
    <t>https://doi.org/10.1093/rfs/hhab072</t>
  </si>
  <si>
    <t>Joel F Houston, Hongyu Shan, Corporate ESG Profiles and Banking Relationships, The Review of Financial Studies, Volume 35, Issue 7, July 2022, Pages 3373–3417, https://doi.org/10.1093/rfs/hhab125</t>
  </si>
  <si>
    <t>https://doi.org/10.1093/rfs/hhab125</t>
  </si>
  <si>
    <t>Laura A Bakkensen, Lint Barrage, Going Underwater? Flood Risk Belief Heterogeneity and Coastal Home Price Dynamics, The Review of Financial Studies, Volume 35, Issue 8, August 2022, Pages 3666–3709, https://doi.org/10.1093/rfs/hhab122</t>
  </si>
  <si>
    <t>https://doi.org/10.1093/rfs/hhab122</t>
  </si>
  <si>
    <t>Emily A Gallagher, Stephen B Billings, Lowell R Ricketts, Human Capital Investment after the Storm, The Review of Financial Studies, Volume 36, Issue 7, July 2023, Pages 2651–2684, https://doi.org/10.1093/rfs/hhad003</t>
  </si>
  <si>
    <t>https://doi.org/10.1093/rfs/hhad003</t>
  </si>
  <si>
    <t>Emirhan Ilhan, Philipp Krueger, Zacharias Sautner, Laura T Starks, Climate Risk Disclosure and Institutional Investors, The Review of Financial Studies, Volume 36, Issue 7, July 2023, Pages 2617–2650, https://doi.org/10.1093/rfs/hhad002</t>
  </si>
  <si>
    <t>https://doi.org/10.1093/rfs/hhad002</t>
  </si>
  <si>
    <t>Joseph Engelberg, Matthew Henriksson, Asaf Manela, Jared Williams, The Partisanship of Financial Regulators, The Review of Financial Studies, Volume 36, Issue 11, November 2023, Pages 4373–4416, https://doi.org/10.1093/rfs/hhad029</t>
  </si>
  <si>
    <t> https://doi.org/10.1093/rfs/hhad029</t>
  </si>
  <si>
    <t>Paul Goldsmith-Pinkham, Matthew T Gustafson, Ryan C Lewis, Michael Schwert, Sea-Level Rise Exposure and Municipal Bond Yields, The Review of Financial Studies, Volume 36, Issue 11, November 2023, Pages 4588–4635, https://doi.org/10.1093/rfs/hhad041</t>
  </si>
  <si>
    <t>https://doi.org/10.1093/rfs/hhad041</t>
  </si>
  <si>
    <t>Ivan T Ivanov, Mathias S Kruttli, Sumudu W Watugala, Banking on Carbon: Corporate Lending and Cap-and-Trade Policy, The Review of Financial Studies, Volume 37, Issue 5, May 2024, Pages 1640–1684, https://doi.org/10.1093/rfs/hhad085</t>
  </si>
  <si>
    <t>https://doi.org/10.1093/rfs/hhad085</t>
  </si>
  <si>
    <t>Nora M C Pankratz, Christoph M Schiller, Climate Change and Adaptation in Global Supply-Chain Networks, The Review of Financial Studies, Volume 37, Issue 6, June 2024, Pages 1729–1777, https://doi.org/10.1093/rfs/hhad093</t>
  </si>
  <si>
    <t>https://doi.org/10.1093/rfs/hhad093</t>
  </si>
  <si>
    <t>Gustav Martinsson, László Sajtos, Per Strömberg, Christian Thomann, The Effect of Carbon Pricing on Firm Emissions: Evidence from the Swedish CO2 Tax, The Review of Financial Studies, Volume 37, Issue 6, June 2024, Pages 1848–1886, https://doi.org/10.1093/rfs/hhad097</t>
  </si>
  <si>
    <t>https://doi.org/10.1093/rfs/hhad097</t>
  </si>
  <si>
    <t>Michael LaCour-Little, Andrey Pavlov, Susan Wachter, Adverse Selection and Climate Risk: A Response to , The Review of Financial Studies, Volume 37, Issue 6, June 2024, Pages 1831–1847, https://doi.org/10.1093/rfs/hhad072</t>
  </si>
  <si>
    <t>https://doi.org/10.1093/rfs/hhad072</t>
  </si>
  <si>
    <t>Qing Li, Hongyu Shan, Yuehua Tang, Vincent Yao, Corporate Climate Risk: Measurements and Responses, The Review of Financial Studies, Volume 37, Issue 6, June 2024, Pages 1778–1830, https://doi.org/10.1093/rfs/hhad094</t>
  </si>
  <si>
    <t>https://doi.org/10.1093/rfs/hhad094</t>
  </si>
  <si>
    <t>Michelle Lowry, Pingle Wang, Kelsey D Wei, Are All ESG Funds Created Equal? Only Some Funds Are Committed, The Review of Financial Studies, Volume 39, Issue 1, January 2026, Pages 79–113, https://doi.org/10.1093/rfs/hhaf084</t>
  </si>
  <si>
    <t>https://doi.org/10.1093/rfs/hhaf084</t>
  </si>
  <si>
    <t>Tuomas Tomunen, Failure to Share Natural Disaster Risk, The Review of Financial Studies, Volume 39, Issue 3, March 2026, Pages 661–701, https://doi.org/10.1093/rfs/hhaf055</t>
  </si>
  <si>
    <t> https://doi.org/10.1093/rfs/hhaf055</t>
  </si>
  <si>
    <t>https://doi.org/10.1016/j.jfineco.2011.03.021</t>
  </si>
  <si>
    <t>Alex Edmans,
Does the stock market fully value intangibles? Employee satisfaction and equity prices,
Journal of Financial Economics,
Volume 101, Issue 3,
2011,
Pages 621-640,
ISSN 0304-405X,
https://doi.org/10.1016/j.jfineco.2011.03.021.</t>
  </si>
  <si>
    <t>https://doi.org/10.1016/j.jfineco.2011.03.022</t>
  </si>
  <si>
    <t>Adair Morse,
Payday lenders: Heroes or villains?,
Journal of Financial Economics,
Volume 102, Issue 1,
2011,
Pages 28-44,
ISSN 0304-405X,
https://doi.org/10.1016/j.jfineco.2011.03.022.</t>
  </si>
  <si>
    <t>https://doi.org/10.1016/j.jfineco.2011.01.006</t>
  </si>
  <si>
    <t>Harrison Hong, Leonard Kostovetsky,
Red and blue investing: Values and finance,
Journal of Financial Economics,
Volume 103, Issue 1,
2012,
Pages 1-19,
ISSN 0304-405X,
https://doi.org/10.1016/j.jfineco.2011.01.006.</t>
  </si>
  <si>
    <t>Xin Deng, Jun-koo Kang, Buen Sin Low,
Corporate social responsibility and stakeholder value maximization: Evidence from mergers,
Journal of Financial Economics,
Volume 110, Issue 1,
2013,
Pages 87-109,
ISSN 0304-405X,
https://doi.org/10.1016/j.jfineco.2013.04.014.</t>
  </si>
  <si>
    <t>Alberta Di Giuli, Leonard Kostovetsky,
Are red or blue companies more likely to go green? Politics and corporate social responsibility,
Journal of Financial Economics,
Volume 111, Issue 1,
2014,
Pages 158-180,
ISSN 0304-405X,
https://doi.org/10.1016/j.jfineco.2013.10.002.</t>
  </si>
  <si>
    <t xml:space="preserve">https://doi.org/10.1016/j.jfineco.2013.10.002 </t>
  </si>
  <si>
    <t>https://doi.org/10.1016/j.jfineco.2013.04.014</t>
  </si>
  <si>
    <t>Philipp Krüger,
Corporate goodness and shareholder wealth,
Journal of Financial Economics,
Volume 115, Issue 2,
2015,
Pages 304-329,
ISSN 0304-405X,
https://doi.org/10.1016/j.jfineco.2014.09.008</t>
  </si>
  <si>
    <t>https://doi.org/10.1016/j.jfineco.2014.09.008</t>
  </si>
  <si>
    <t>Allen Ferrell, Hao Liang, Luc Renneboog,
Socially responsible firms,
Journal of Financial Economics,
Volume 122, Issue 3,
2016,
Pages 585-606,
ISSN 0304-405X,
https://doi.org/10.1016/j.jfineco.2015.12.003</t>
  </si>
  <si>
    <t>https://doi.org/10.1016/j.jfineco.2015.12.003</t>
  </si>
  <si>
    <t>Kristle Romero Cortés, Philip E. Strahan,
Tracing out capital flows: How financially integrated banks respond to natural disasters,
Journal of Financial Economics,
Volume 125, Issue 1,
2017,
Pages 182-199,
ISSN 0304-405X,
https://doi.org/10.1016/j.jfineco.2017.04.011</t>
  </si>
  <si>
    <t>https://doi.org/10.1016/j.jfineco.2017.04.011</t>
  </si>
  <si>
    <t>Henrik Cronqvist, Frank Yu,
Shaped by their daughters: Executives, female socialization, and corporate social responsibility,
Journal of Financial Economics,
Volume 126, Issue 3,
2017,
Pages 543-562,
ISSN 0304-405X,
https://doi.org/10.1016/j.jfineco.2017.09.003</t>
  </si>
  <si>
    <t>https://doi.org/10.1016/j.jfineco.2017.09.003</t>
  </si>
  <si>
    <t>https://doi.org/10.1016/j.jfineco.2018.08.013</t>
  </si>
  <si>
    <t>Alexander Dyck, Karl V. Lins, Lukas Roth, Hannes F. Wagner,
Do institutional investors drive corporate social responsibility? International evidence,
Journal of Financial Economics,
Volume 131, Issue 3,
2019,
Pages 693-714,
ISSN 0304-405X,
https://doi.org/10.1016/j.jfineco.2018.08.013</t>
  </si>
  <si>
    <t>Asaf Bernstein, Matthew T. Gustafson, Ryan Lewis,
Disaster on the horizon: The price effect of sea level rise,
Journal of Financial Economics,
Volume 134, Issue 2,
2019,
Pages 253-272,
ISSN 0304-405X,
https://doi.org/10.1016/j.jfineco.2019.03.013</t>
  </si>
  <si>
    <t>https://doi.org/10.1016/j.jfineco.2019.03.013</t>
  </si>
  <si>
    <t>https://doi.org/10.1016/j.jfineco.2019.06.006</t>
  </si>
  <si>
    <t>Marcus Painter,
An inconvenient cost: The effects of climate change on municipal bonds,
Journal of Financial Economics,
Volume 135, Issue 2,
2020,
Pages 468-482,
ISSN 0304-405X,
https://doi.org/10.1016/j.jfineco.2019.06.006</t>
  </si>
  <si>
    <t>Tao Chen, Hui Dong, Chen Lin,
Institutional shareholders and corporate social responsibility,
Journal of Financial Economics,
Volume 135, Issue 2,
2020,
Pages 483-504,
ISSN 0304-405X,
https://doi.org/10.1016/j.jfineco.2019.06.007</t>
  </si>
  <si>
    <t>https://doi.org/10.1016/j.jfineco.2019.06.007</t>
  </si>
  <si>
    <t>https://doi.org/10.1016/j.jfineco.2020.07.008</t>
  </si>
  <si>
    <t>Brad M. Barber, Adair Morse, Ayako Yasuda,
Impact investing,
Journal of Financial Economics,
Volume 139, Issue 1,
2021,
Pages 162-185,
ISSN 0304-405X,
https://doi.org/10.1016/j.jfineco.2020.07.008</t>
  </si>
  <si>
    <t>Wolfram Schlenker, Charles A. Taylor,
Market expectations of a warming climate,
Journal of Financial Economics,
Volume 142, Issue 2,
2021,
Pages 627-640,
ISSN 0304-405X,
https://doi.org/10.1016/j.jfineco.2020.08.019</t>
  </si>
  <si>
    <t>https://doi.org/10.1016/j.jfineco.2020.08.019</t>
  </si>
  <si>
    <t>Christopher Geczy, Jessica S. Jeffers, David K. Musto, Anne M. Tucker,
Contracts with (Social) benefits: The implementation of impact investing,
Journal of Financial Economics,
Volume 142, Issue 2,
2021,
Pages 697-718,
ISSN 0304-405X,
https://doi.org/10.1016/j.jfineco.2021.01.006</t>
  </si>
  <si>
    <t>https://doi.org/10.1016/j.jfineco.2021.01.006</t>
  </si>
  <si>
    <t>Patrick Bolton, Marcin Kacperczyk,
Do investors care about carbon risk?,
Journal of Financial Economics,
Volume 142, Issue 2,
2021,
Pages 517-549,
ISSN 0304-405X,
https://doi.org/10.1016/j.jfineco.2021.05.008</t>
  </si>
  <si>
    <t>https://doi.org/10.1016/j.jfineco.2021.05.008</t>
  </si>
  <si>
    <t>Rui Dai, Hao Liang, Lilian Ng,
Socially responsible corporate customers,
Journal of Financial Economics,
Volume 142, Issue 2,
2021,
Pages 598-626,
ISSN 0304-405X,
https://doi.org/10.1016/j.jfineco.2020.01.003</t>
  </si>
  <si>
    <t>https://doi.org/10.1016/j.jfineco.2020.01.003</t>
  </si>
  <si>
    <t>Caroline Flammer,
Corporate green bonds,
Journal of Financial Economics,
Volume 142, Issue 2,
2021,
Pages 499-516,
ISSN 0304-405X,
https://doi.org/10.1016/j.jfineco.2021.01.010</t>
  </si>
  <si>
    <t>https://doi.org/10.1016/j.jfineco.2021.01.010</t>
  </si>
  <si>
    <t>José Azar, Miguel Duro, Igor Kadach, Gaizka Ormazabal,
The Big Three and corporate carbon emissions around the world,
Journal of Financial Economics,
Volume 142, Issue 2,
2021,
Pages 674-696,
ISSN 0304-405X,
https://doi.org/10.1016/j.jfineco.2021.05.007</t>
  </si>
  <si>
    <t>https://doi.org/10.1016/j.jfineco.2021.05.007</t>
  </si>
  <si>
    <t>Lasse Heje Pedersen, Shaun Fitzgibbons, Lukasz Pomorski,
Responsible investing: The ESG-efficient frontier,
Journal of Financial Economics,
Volume 142, Issue 2,
2021,
Pages 572-597,
ISSN 0304-405X,
https://doi.org/10.1016/j.jfineco.2020.11.001</t>
  </si>
  <si>
    <t>Söhnke M. Bartram, Kewei Hou, Sehoon Kim,
Real effects of climate policy: Financial constraints and spillovers,
Journal of Financial Economics,
Volume 143, Issue 2,
2022,
Pages 668-696,
ISSN 0304-405X,
https://doi.org/10.1016/j.jfineco.2021.06.015</t>
  </si>
  <si>
    <t>https://doi.org/10.1016/j.jfineco.2020.11.001</t>
  </si>
  <si>
    <t>https://doi.org/10.1016/j.jfineco.2021.06.015</t>
  </si>
  <si>
    <t>https://doi.org/10.1016/j.jfineco.2022.02.004</t>
  </si>
  <si>
    <t>Zhongchen Hu,
Social interactions and households’ flood insurance decisions,
Journal of Financial Economics,
Volume 144, Issue 2,
2022,
Pages 414-432,
ISSN 0304-405X,
https://doi.org/10.1016/j.jfineco.2022.02.004</t>
  </si>
  <si>
    <t>Doron Avramov, Si Cheng, Abraham Lioui, Andrea Tarelli,
Sustainable investing with ESG rating uncertainty,
Journal of Financial Economics,
Volume 145, Issue 2, Part B,
2022,
Pages 642-664,
ISSN 0304-405X,
https://doi.org/10.1016/j.jfineco.2021.09.009</t>
  </si>
  <si>
    <t>https://doi.org/10.1016/j.jfineco.2021.09.009</t>
  </si>
  <si>
    <t>Ľuboš Pástor, Robert F. Stambaugh, Lucian A. Taylor,
Dissecting green returns,
Journal of Financial Economics,
Volume 146, Issue 2,
2022,
Pages 403-424,
ISSN 0304-405X,
https://doi.org/10.1016/j.jfineco.2022.07.007</t>
  </si>
  <si>
    <t>https://doi.org/10.1016/j.jfineco.2022.07.007</t>
  </si>
  <si>
    <t>Stephen B. Billings, Emily A. Gallagher, Lowell Ricketts,
Let the rich be flooded: The distribution of financial aid and distress after hurricane harvey,
Journal of Financial Economics,
Volume 146, Issue 2,
2022,
Pages 797-819,
ISSN 0304-405X,
https://doi.org/10.1016/j.jfineco.2021.11.006</t>
  </si>
  <si>
    <t>https://doi.org/10.1016/j.jfineco.2021.11.006</t>
  </si>
  <si>
    <t>https://doi.org/10.1016/j.jfineco.2022.03.004</t>
  </si>
  <si>
    <t>Asaf Bernstein, Stephen B. Billings, Matthew T. Gustafson, Ryan Lewis,
Partisan residential sorting on climate change risk,
Journal of Financial Economics,
Volume 146, Issue 3,
2022,
Pages 989-1015,
ISSN 0304-405X,
https://doi.org/10.1016/j.jfineco.2022.03.004</t>
  </si>
  <si>
    <t>Nickolay Gantchev, Mariassunta Giannetti, Rachel Li,
Sustainability or performance? Ratings and fund managers’ incentives,
Journal of Financial Economics,
Volume 155,
2024,
103831,
ISSN 0304-405X,
https://doi.org/10.1016/j.jfineco.2024.103831</t>
  </si>
  <si>
    <t>https://doi.org/10.1016/j.jfineco.2024.103831</t>
  </si>
  <si>
    <t>https://doi.org/10.1016/j.jfineco.2024.103928</t>
  </si>
  <si>
    <t>Jessica Jeffers, Tianshu Lyu, Kelly Posenau,
The risk and return of impact investing funds,
Journal of Financial Economics,
Volume 161,
2024,
103928,
ISSN 0304-405X,
https://doi.org/10.1016/j.jfineco.2024.103928</t>
  </si>
  <si>
    <t>https://doi.org/10.1016/j.jfineco.2024.103944</t>
  </si>
  <si>
    <t>Peter Feldhütter, Kristoffer Halskov, Arthur Krebbers,
Pricing of sustainability-linked bonds,
Journal of Financial Economics,
Volume 162,
2024,
103944,
ISSN 0304-405X,
https://doi.org/10.1016/j.jfineco.2024.103944</t>
  </si>
  <si>
    <t>https://doi.org/10.1016/j.jfineco.2024.103955</t>
  </si>
  <si>
    <t>Jean-François Bonnefon, Augustin Landier, Parinitha Sastry, David Thesmar,
The moral preferences of investors: Experimental evidence,
Journal of Financial Economics,
Volume 163,
2025,
103955,
ISSN 0304-405X,
https://doi.org/10.1016/j.jfineco.2024.103955</t>
  </si>
  <si>
    <t>Jonathan B. Berk, Jules H. van Binsbergen,
The impact of impact investing,
Journal of Financial Economics,
Volume 164,
2025,
103972,
ISSN 0304-405X,
https://doi.org/10.1016/j.jfineco.2024.103972</t>
  </si>
  <si>
    <t>https://doi.org/10.1016/j.jfineco.2024.103972</t>
  </si>
  <si>
    <t xml:space="preserve"> Stefano Giglio, Matteo Maggiori, Johannes Stroebel, Zhenhao Tan, Stephen Utkus, Xiao Xu,
Four facts about ESG beliefs and investor portfolios,
Journal of Financial Economics,
Volume 164,
2025,
103984,
ISSN 0304-405X,
https://doi.org/10.1016/j.jfineco.2024.103984</t>
  </si>
  <si>
    <t>https://doi.org/10.1016/j.jfineco.2024.103984</t>
  </si>
  <si>
    <t>https://doi.org/10.1016/j.jfineco.2024.103987</t>
  </si>
  <si>
    <t>Caroline Flammer, Thomas Giroux, Geoffrey M. Heal,
Biodiversity finance,
Journal of Financial Economics,
Volume 164,
2025,
103987,
ISSN 0304-405X,
https://doi.org/10.1016/j.jfineco.2024.103987</t>
  </si>
  <si>
    <t>Hyeyoon Jung, Robert F. Engle, Richard Berner,
CRISK: Measuring the climate risk exposure of the financial system,
Journal of Financial Economics,
Volume 171,
2025,
104076,
ISSN 0304-405X,
https://doi.org/10.1016/j.jfineco.2025.104076</t>
  </si>
  <si>
    <t>https://doi.org/10.1016/j.jfineco.2025.104076</t>
  </si>
  <si>
    <t>https://doi.org/10.1016/j.jfineco.2025.104129</t>
  </si>
  <si>
    <t>Daniel Green, Boris Vallee,
Measurement and effects of bank exit policies,
Journal of Financial Economics,
Volume 172,
2025,
104129,
ISSN 0304-405X,
https://doi.org/10.1016/j.jfineco.2025.104129</t>
  </si>
  <si>
    <t>https://doi.org/10.1016/j.jfineco.2025.104151</t>
  </si>
  <si>
    <t>George O. Aragon, Yuxiang Jiang, Juha Joenväärä, Cristian Ioan Tiu,
Responsible investing: Costs and benefits for university endowment funds,
Journal of Financial Economics,
Volume 172,
2025,
104151,
ISSN 0304-405X,
https://doi.org/10.1016/j.jfineco.2025.104151</t>
  </si>
  <si>
    <t>Sehoon Kim, Nitish Kumar, Jongsub Lee, Junho Oh,
ESG lending,
Journal of Financial Economics,
Volume 173,
2025,
104150,
ISSN 0304-405X,
https://doi.org/10.1016/j.jfineco.2025.104150</t>
  </si>
  <si>
    <t>https://doi.org/10.1016/j.jfineco.2025.104150</t>
  </si>
  <si>
    <t>https://doi.org/10.1016/j.jfineco.2025.104173</t>
  </si>
  <si>
    <t>Lubos Pastor, Robert F. Stambaugh, Lucian A. Taylor,
Green tilts,
Journal of Financial Economics,
Volume 174,
2025,
104173,
ISSN 0304-405X,
https://doi.org/10.1016/j.jfineco.2025.104173</t>
  </si>
  <si>
    <t>Mengyu Wang, Jeffrey Wurgler, Hong Zhang,
Policy uncertainty reduces green innovation,
Journal of Financial Economics,
Volume 175,
2026,
104189,
ISSN 0304-405X,
https://doi.org/10.1016/j.jfineco.2025.104189</t>
  </si>
  <si>
    <t>https://doi.org/10.1016/j.jfineco.2025.104189</t>
  </si>
  <si>
    <t>Stefania D’Amico, Johannes Klausmann, N. Aaron Pancost,
The benchmark greenium,
Journal of Financial Economics,
Volume 176,
2026,
104217,
ISSN 0304-405X,
https://doi.org/10.1016/j.jfineco.2025.104217</t>
  </si>
  <si>
    <t>https://doi.org/10.1016/j.jfineco.2025.104217</t>
  </si>
  <si>
    <t>Nuno Clara, João F. Cocco, S. Lakshmi Naaraayanan, Varun Sharma,
Investments that make our homes greener: The role of regulation,
Journal of Financial Economics,
Volume 177,
2026,
104236,
ISSN 0304-405X,
https://doi.org/10.1016/j.jfineco.2026.104236</t>
  </si>
  <si>
    <t>https://doi.org/10.1016/j.jfineco.2026.104236</t>
  </si>
  <si>
    <t>Biodiversity / corporate biodiversity footprint (CBF) / pricing</t>
  </si>
  <si>
    <t>Firm-level panel testing whether investors price corporate biodiversity exposure, built around the Corporate Biodiversity Footprint (CBF) measure from Iceberg Data Lab — aggregating biodiversity loss from land use, GHG emissions, water and air pollution — merged with CRSP/Compustat returns and accounting data.</t>
  </si>
  <si>
    <t>Iceberg Data Lab Corporate Biodiversity Footprint (CBF); CRSP/Compustat</t>
  </si>
  <si>
    <t>Global firms with IDL CBF coverage</t>
  </si>
  <si>
    <t xml:space="preserve">https://doi.org/10.1093/rof/rfad039 </t>
  </si>
  <si>
    <t>ES funds / strategic voting / proxy proposals</t>
  </si>
  <si>
    <t>Mutual fund-level analysis of strategic voting on environmental and social shareholder proposals, built from N-PX proxy voting filings, ISS Voting Analytics, CRSP/Morningstar mutual fund data, and Morningstar ESG fund classifications.</t>
  </si>
  <si>
    <t>SEC N-PX proxy voting filings; ISS Voting Analytics; CRSP/Morningstar mutual fund data; Morningstar ESG fund classifications</t>
  </si>
  <si>
    <t>US mutual funds voting on E&amp;S shareholder proposals</t>
  </si>
  <si>
    <t xml:space="preserve">SEC N-PX filings: https://www.sec.gov/edgar </t>
  </si>
  <si>
    <t>Labor unions / E&amp;S scores / RDD</t>
  </si>
  <si>
    <t>Firm-level regression discontinuity design exploiting close labor union elections (NLRB) to identify causal effects of unionization on internal vs external E&amp;S scores, merged with KLD/MSCI ESG ratings and CRSP/Compustat data, covering US firms.</t>
  </si>
  <si>
    <t>NLRB union election records; KLD/MSCI ESG ratings; CRSP/Compustat</t>
  </si>
  <si>
    <t>US public firms with NLRB union election events</t>
  </si>
  <si>
    <t>NLRB election data: https://www.nlrb.gov/reports/agency-performance/election-reports</t>
  </si>
  <si>
    <t>Hurricanes / shareholder voting / E proposals</t>
  </si>
  <si>
    <t>Mutual fund-level analysis of 357,649 votes on environmental shareholder proposals, testing whether hurricane exposure at fund headquarter location increases support for E proposals; built from SEC N-PX filings, ISS Voting Analytics, NOAA hurricane data, and FEMA disaster declarations, covering US 2006–2020.</t>
  </si>
  <si>
    <t>SEC N-PX proxy votes; ISS Voting Analytics; NOAA hurricane data; FEMA disaster declarations</t>
  </si>
  <si>
    <t>357,649 institutional votes on US environmental shareholder proposals; mutual funds in hurricane-affected US regions</t>
  </si>
  <si>
    <t>SEC N-PX: https://www.sec.gov/edgar; NOAA hurricanes: https://www.nhc.noaa.gov/data/; FEMA: https://www.fema.gov/openfema</t>
  </si>
  <si>
    <t>Disaster relief donations / CARs / philanthropy</t>
  </si>
  <si>
    <t>Event-study of stock market reactions to 1,162 disaster relief donation announcements by publicly listed firms globally, computing cumulative abnormal returns (CARs) in narrow event windows, 2006–2018.</t>
  </si>
  <si>
    <t>Disaster relief donation announcements (hand-collected from news/press releases); global stock market data</t>
  </si>
  <si>
    <t>1,162 disaster relief donation announcements from publicly listed firms worldwide</t>
  </si>
  <si>
    <t>Green bonds / FX volatility / financial openness</t>
  </si>
  <si>
    <t>Theoretical model with mean-variance foreign investors disinclined to hold brown bonds, plus empirical test using a global bond market dataset to show green premia are smaller in economies with more closed financial accounts and more volatile exchange rates.</t>
  </si>
  <si>
    <t>Theoretical model + empirical test</t>
  </si>
  <si>
    <t>Global bond market dataset (likely Bloomberg / Refinitiv green bond classifications); macro openness and exchange rate data (IMF / World Bank)</t>
  </si>
  <si>
    <t>Global bond market dataset across multiple economies</t>
  </si>
  <si>
    <t>Blockchain / environmental monitoring / China</t>
  </si>
  <si>
    <t>Theoretical model of regulator-firm strategic interactions plus firm-level empirical analysis of China's blockchain-based environmental monitoring system, using monitored emissions/pollution data and firm-level outcomes; identifies effects on industrial pollution, business relocation, and other socioeconomic outcomes.</t>
  </si>
  <si>
    <t>Theoretical model of regulator-firm strategic interaction</t>
  </si>
  <si>
    <t>China official emissions/pollution monitoring data; firm-level outcomes</t>
  </si>
  <si>
    <t>China — exploits unique blockchain monitoring deployment with simultaneous cryptocurrency ban</t>
  </si>
  <si>
    <t>Asia-Pacific</t>
  </si>
  <si>
    <t>gjwang@shnu.edu.cn</t>
  </si>
  <si>
    <t>Biodiversity / US property values / 58M transactions</t>
  </si>
  <si>
    <t>Property-level panel of more than 58 million US real estate transactions linking transaction prices to local biodiversity measures from CSIRO and regional species richness from NatureServe, decomposing local vs regional biodiversity effects on property values, 2000–2021.</t>
  </si>
  <si>
    <t>US real estate transactions (likely Zillow ZTRAX or similar); CSIRO biodiversity data; NatureServe species richness</t>
  </si>
  <si>
    <t>~58 million US property transactions linked to county-level biodiversity measures</t>
  </si>
  <si>
    <t>Asset-Level</t>
  </si>
  <si>
    <t>jnc29@psu.edu</t>
  </si>
  <si>
    <t>Commodities / biodiversity premium / agricultural</t>
  </si>
  <si>
    <t>Commodity-level panel testing whether biodiversity-related transition risk is priced in global commodity markets (especially agricultural), built from species-loss-per-harvested-land intensity metrics combined with Bloomberg/futures commodity price data; includes Kunming Declaration event study and aggregate cross-section asset pricing analysis.</t>
  </si>
  <si>
    <t>Bloomberg/futures commodity prices; species loss per harvested land intensity metrics (open-access biodiversity database, per Cambridge Judge writeup)</t>
  </si>
  <si>
    <t>Global commodity markets — agricultural commodities (palm oil, cocoa, coffee, etc.) emphasized</t>
  </si>
  <si>
    <t>https://jncc.gov.uk/resources/36b59d93-8487-471d-9428-bc3d7dff0423</t>
  </si>
  <si>
    <t>Voluntary carbon offsets / rainforest / global firms</t>
  </si>
  <si>
    <t>Firm-level analysis of voluntary carbon offset purchases targeting rainforest/forest projects, built from voluntary carbon market registries (Verra/Gold Standard) merged with global firm financials and emissions data, testing investor responses to firms' voluntary biodiversity-relevant offset disclosures.</t>
  </si>
  <si>
    <t>Voluntary carbon market registries (Verra, Gold Standard); CRSP/Compustat or international equivalents</t>
  </si>
  <si>
    <t>Global firms participating in voluntary carbon offset markets; rainforest/forest-focused projects</t>
  </si>
  <si>
    <t>voluntary Registry Offsets Database: https://gspp.berkeley.edu/berkeley-carbon-trading-project/offsets-database
Verra registry: https://registry.verra.org/
 Gold Standard: https://registry.goldstandard.org/</t>
  </si>
  <si>
    <t>EU biodiversity funding / Horizon programs / project-level</t>
  </si>
  <si>
    <t>Project- and country-level analysis of EU biodiversity science and innovation funding (CORDIS Horizon 2020 / Horizon Europe), with funding allocations across UK (€695.12M, 16% of total), Norway (€386.30M), Portugal (€223.02M) and others, decomposed by ecosystem (terrestrial/marine/freshwater/subterranean); tests whether funding actually reduces biodiversity loss outcomes.</t>
  </si>
  <si>
    <t>EU CORDIS database (Horizon 2020 / Horizon Europe project funding); biodiversity outcome indicators</t>
  </si>
  <si>
    <t>EU + associated countries; UK, Norway, Portugal among top funders</t>
  </si>
  <si>
    <t>https://researchbox.org/5014</t>
  </si>
  <si>
    <t>NatureDep scores / ecosystem services / firm exposure</t>
  </si>
  <si>
    <t>Firm-level panel introducing new "NatureDep" measures of corporate dependence on ecosystem services (built by mapping industry-level nature dependence to firms via NACE/GICS codes), merged with CRSP/Compustat or international equivalents and tested for asset-pricing implications.</t>
  </si>
  <si>
    <t>Industry-level ecosystem service dependence (e.g., from ENCORE / Natural Capital Finance Alliance); CRSP/Compustat</t>
  </si>
  <si>
    <t>Global firms with industry classification + market data coverage</t>
  </si>
  <si>
    <t>ENCORE Natural Capital Finance Alliance):  https://www.encorenature.org/en</t>
  </si>
  <si>
    <t>Protected areas / Kunming-Montreal / firm corporate behavior</t>
  </si>
  <si>
    <t>Firm-level panel testing how the designation of new protected areas — motivated by the COP15 Kunming-Montreal "30 by 30" target — affects corporate behavior and financial performance for firms operating near newly protected ecosystems, built from World Database on Protected Areas (WDPA) merged with global firm-level financials.</t>
  </si>
  <si>
    <t>World Database on Protected Areas (WDPA / Protected Planet); CRSP/Compustat or international equivalents</t>
  </si>
  <si>
    <t>Global firms operating near (newly) protected biodiversity areas</t>
  </si>
  <si>
    <t>Corporate Biodiversity Exposure measures: https://docs.google.com/spreadsheets/d/1Lz3FSaHMt36nuq82qmg9DWtWYxslPMYH/edit?pli=1&amp;gid=1092822974#gid=1092822974</t>
  </si>
  <si>
    <t>Biodiversity risk indices / news + 10-K + survey</t>
  </si>
  <si>
    <t>Multi-source biodiversity risk dataset: aggregate news-based biodiversity risk index from NYT and other media; firm- and industry-level exposure measures from (1) textual analysis of 10-K filings, (2) holdings of biodiversity-related funds, (3) firms' CDP questionnaire responses, and (4) a large survey of finance professionals/regulators/academics.</t>
  </si>
  <si>
    <t>NYT and other news; SEC 10-K filings; biodiversity-related fund holdings; CDP questionnaire responses; survey of finance professionals</t>
  </si>
  <si>
    <t>Aggregate (news indices) + firm/industry-level (10-K, fund holdings, CDP); global with US emphasis</t>
  </si>
  <si>
    <t>Mangroves / coastal housing prices / climate resilience</t>
  </si>
  <si>
    <t>Property-level panel testing whether mangrove ecosystem services are capitalized into coastal housing prices, built from real estate transaction data linked to mangrove coverage maps (likely Global Mangrove Watch or NASA satellite data) and storm/hurricane hazard exposure data.</t>
  </si>
  <si>
    <t>Biodiversity startups / PitchBook / LLM classification</t>
  </si>
  <si>
    <t>Startup-level analysis of 630 biodiversity-linked startups identified by fine-tuning a large language model (LLM) on PitchBook venture data, comparing financing dynamics with non-biodiversity ventures and analyzing the role of Twitter/X social media activity in attracting "value" vs "values" investors.</t>
  </si>
  <si>
    <t>Fine-tuned LLM for startup classification</t>
  </si>
  <si>
    <t>PitchBook venture financing database; Twitter/X social media activity</t>
  </si>
  <si>
    <t>630 biodiversity-linked startups identified globally via PitchBook</t>
  </si>
  <si>
    <t>Nature risk / earnings calls / textual measure</t>
  </si>
  <si>
    <t>Firm-level panel of corporate nature/biodiversity risk perceptions constructed via NLP analysis of earnings call transcripts (and likely 10-K filings), separating physical from transition nature risks, merged with firm financial and market data.</t>
  </si>
  <si>
    <t>Earnings call transcripts (likely Refinitiv StreetEvents); CRSP/Compustat</t>
  </si>
  <si>
    <t>Global firms with earnings call transcript coverage</t>
  </si>
  <si>
    <t>Information experiment / WTP CO2 offsets / green investment</t>
  </si>
  <si>
    <t>Individual-level information-provision experiment embedded in a German Bundesbank household survey, testing causal effects of climate-information treatments on willingness to pay for CO2 offsets, willingness to invest in green assets, and downstream information-acquisition behavior.</t>
  </si>
  <si>
    <t>Bundesbank household survey (likely Bundesbank Online Panel Households / BOP-HH) with embedded information experiment</t>
  </si>
  <si>
    <t xml:space="preserve">German household survey panel </t>
  </si>
  <si>
    <t>The data underlying this article can be 
made available for academic research projects by the Research Data and Service Centre of the Deutsche Bundesbank.</t>
  </si>
  <si>
    <t>Voluntary carbon offsets / habitat quality / satellite</t>
  </si>
  <si>
    <t>Project-level analysis of ~30,000 voluntary carbon offset projects (~2,700 with mapped spatial boundaries) and 419,000+ credit retirements, linking registry records (Verra, Gold Standard, etc.) to satellite-derived habitat indicators (Human Influence Index, Biodiversity Habitat Index, BERI) to test claimed biodiversity co-benefits.</t>
  </si>
  <si>
    <t>Voluntary carbon market registries (Verra, Gold Standard, etc.); Human Influence Index (HII); Biodiversity Habitat Index (BHI); BERI; rating agency data (BeZero, Sylvera, Calyx, AlliedOffsets, Renoster)</t>
  </si>
  <si>
    <t>~30,000 voluntary carbon offset projects globally; ~2,700 with spatial boundaries</t>
  </si>
  <si>
    <t>Verra: 
https://registry.verra.org/
 HII via SEDAC/CIESIN: https://sedac.ciesin.columbia.edu/</t>
  </si>
  <si>
    <t>Green innovation / textual measure / beyond patents</t>
  </si>
  <si>
    <t>Firm-level panel constructing new measures of green innovation that capture commercialization and adoption (not just patent invention), built via NLP/textual analysis of corporate disclosures and other text sources, merged with patent data and standard firm financials.</t>
  </si>
  <si>
    <t>Corporate textual disclosures (likely 10-K filings and/or earnings calls); patent data (USPTO/Google Patents); CRSP/Compustat</t>
  </si>
  <si>
    <t>USPTO/Google Patents are public; SEC EDGAR filings are public</t>
  </si>
  <si>
    <t>Pollution externalities / public vs private firms</t>
  </si>
  <si>
    <t>Firm-level comparison of toxic/greenhouse pollution by public vs private US firms, built from EPA emissions data (Greenhouse Gas Reporting Program, Toxic Release Inventory) linked to firm ownership and financial data.</t>
  </si>
  <si>
    <t>EPA Greenhouse Gas Reporting Program &amp; Toxic Release Inventory; private/public firm financials (Capital IQ)</t>
  </si>
  <si>
    <t>US public and private firms with EPA-reported facilities</t>
  </si>
  <si>
    <t>EPA GHGRP: https://www.epa.gov/ghgreporting
 TRI: 
https://www.epa.gov/toxics-release-inventory-tri-program</t>
  </si>
  <si>
    <t>Climate beliefs / house prices / sea-level rise</t>
  </si>
  <si>
    <t>Property-level study of whether US coastal house prices reflect climate-change beliefs, pairing real-estate transaction data with local climate-opinion measures (Yale Climate Opinion Maps) and sea-level-rise/flood exposure; includes an equilibrium housing-sorting model.</t>
  </si>
  <si>
    <t>Equilibrium housing-sorting model (alongside empirics)</t>
  </si>
  <si>
    <t>Real-estate transactions (e.g. Zillow/realtor data); Yale Climate Opinion Maps; sea-level-rise/flood exposure</t>
  </si>
  <si>
    <t>US coastal housing markets</t>
  </si>
  <si>
    <t>Yale Climate Opinion Maps: https://climatecommunication.yale.edu/visualizations-data/ycom-us/
Air temp and heat index:
https://wonder.cdc.gov/nasa-nldas.html</t>
  </si>
  <si>
    <t xml:space="preserve">
climate bert: https://www.chatclimate.ai/climatebert</t>
  </si>
  <si>
    <t>Sea-level rise / coastal home prices / inundation</t>
  </si>
  <si>
    <t>Property-level study comparing coastal home prices by inundation threshold under sea-level-rise projections, built from a comprehensive coastal home-sales database merged with NOAA elevation-relative-to-tide data.</t>
  </si>
  <si>
    <t>Coastal home-sales transaction data; NOAA tidal/elevation &amp; sea-level-rise projections</t>
  </si>
  <si>
    <t>US coastal residential properties</t>
  </si>
  <si>
    <t>NOAA SLR/elevation: https://coast.noaa.gov/slr/</t>
  </si>
  <si>
    <t>Climate news index / hedge portfolios / textual analysis</t>
  </si>
  <si>
    <t>Construction of climate-change news indices via textual analysis of newspapers (WSJ and a Crimson Hexagon news corpus), then mimicking-portfolio hedge construction disciplined by third-party ESG scores; authors publicly release the climate news series.</t>
  </si>
  <si>
    <t>WSJ climate news index; Crimson Hexagon news corpus; third-party ESG scores; CRSP returns</t>
  </si>
  <si>
    <t>US equities; news-based aggregate climate risk series</t>
  </si>
  <si>
    <t>https://drive.google.com/file/d/1pCHmcebmOwrVCFim78ALhB51c3h1qt2T/view?pli=1</t>
  </si>
  <si>
    <t>Attention (Google search) / temperature / carbon returns</t>
  </si>
  <si>
    <t>International study linking abnormally warm local temperatures to climate-change attention (Google search volume) and to underperformance of carbon-intensive stocks, combining Google Trends, weather/temperature data, and equity returns.</t>
  </si>
  <si>
    <t>Google Trends search volume (global-warming attention); local temperature data; international equity returns</t>
  </si>
  <si>
    <t>International cities/markets</t>
  </si>
  <si>
    <t>Google Trends: https://trends.google.com/
  ISD temperature Data:
https://www.ncei.noaa.gov/products/land-based-station/integrated-surface-database</t>
  </si>
  <si>
    <t>Carbon tail risk / option-implied / climate policy uncertainty</t>
  </si>
  <si>
    <t>Firm-level study showing option-implied downside tail risk is larger for carbon-intensive firms, combining OptionMetrics option prices, firm carbon intensity (vendor emissions), and climate-attention proxies.</t>
  </si>
  <si>
    <t>OptionMetrics option prices; firm carbon intensity (Trucost/vendor); climate-attention proxies</t>
  </si>
  <si>
    <t>US optionable firms</t>
  </si>
  <si>
    <t>https://dataverse.harvard.edu/dataset.xhtml?persistentId=doi:10.7910/DVN/PNHXF6</t>
  </si>
  <si>
    <t>Long-run discount rates / leaseholds vs freeholds</t>
  </si>
  <si>
    <t>Estimates the term structure of discount rates for very-long-horizon (climate) payoffs by exploiting the price gap between leasehold and freehold residential properties, using UK Land Registry transactions and Singapore housing data.</t>
  </si>
  <si>
    <t>UK Land Registry Price Paid (leasehold/freehold); Singapore housing transactions; Rightmove listings</t>
  </si>
  <si>
    <t>UK (main) and Singapore residential property</t>
  </si>
  <si>
    <t>UK Land Registry Price Paid: https://www.gov.uk/government/collections/price-paid-data</t>
  </si>
  <si>
    <t>Sustainable investing preferences / pension field experiment</t>
  </si>
  <si>
    <t>Field experiment with real financial stakes among members of a Dutch pension fund, combining an incentivized vote and surveys to measure individuals' preferences for sustainable investments.</t>
  </si>
  <si>
    <t>Incentivized field experiment + survey of Dutch pension fund (Pensioenfonds Detailhandel) members</t>
  </si>
  <si>
    <t>Netherlands — pension fund membership</t>
  </si>
  <si>
    <t>SRI returns / business cycle / wealth-dependent preferences</t>
  </si>
  <si>
    <t>Time-varying analysis of SRI abnormal returns over the business cycle, using portfolio regressions and event studies on analyst ESG ratings, firm announcements, and realized ESG incidents linked to market data.</t>
  </si>
  <si>
    <t>KLD/MSCI ESG ratings; firm ESG announcements &amp; realized incidents; CRSP/Compustat</t>
  </si>
  <si>
    <t>US equities</t>
  </si>
  <si>
    <t>Bank-borrower ESG matching / lending</t>
  </si>
  <si>
    <t>Loan-level study showing banks lend to borrowers with similar ESG profiles and influence borrowers' subsequent ESG performance, combining DealScan syndicated-loan data with bank and borrower ESG ratings and financials.</t>
  </si>
  <si>
    <t>DealScan syndicated loans; bank &amp; borrower ESG ratings (Refinitiv/MSCI); Compustat</t>
  </si>
  <si>
    <t>US (and global) bank-borrower pairs</t>
  </si>
  <si>
    <t>Flood-risk beliefs / coastal home prices / survey</t>
  </si>
  <si>
    <t>Dynamic housing-market model plus a door-to-door survey in Rhode Island measuring flood-risk beliefs, combined with coastal property transactions and FEMA flood-risk maps to study capitalization of flood risk.</t>
  </si>
  <si>
    <t>Door-to-door Rhode Island flood-risk-belief survey; coastal home transactions; FEMA flood maps</t>
  </si>
  <si>
    <t>US coastal — Rhode Island survey site</t>
  </si>
  <si>
    <t>FEMA flood maps: https://www.fema.gov/flood-maps/national-flood-hazard-layer</t>
  </si>
  <si>
    <t>Natural disasters / human capital / household finance</t>
  </si>
  <si>
    <t>Study of how natural-disaster (storm) exposure affects household human-capital investment, combining FEMA disaster declarations with individual-level education/financial-aid and credit-bureau data.</t>
  </si>
  <si>
    <t>US disaster-affected areas / individuals</t>
  </si>
  <si>
    <t>FEMA disaster declarations/THECB ; college-enrollment / financial-aid data; consumer credit-bureau panel</t>
  </si>
  <si>
    <t>https://dataverse.harvard.edu/dataset.xhtml?persistentId=doi:10.7910/DVN/1W1NPW</t>
  </si>
  <si>
    <t>Climate disclosure demand / institutional investors / survey</t>
  </si>
  <si>
    <t>Survey of institutional investors plus observational holdings analysis showing investors value and demand climate-risk disclosure, linking the survey to 13F holdings and CDP climate-disclosure data.</t>
  </si>
  <si>
    <t>CDP Reports</t>
  </si>
  <si>
    <t>Survey of institutional investors; 13F institutional holdings; CDP climate-disclosure scores</t>
  </si>
  <si>
    <t>Global institutional investors</t>
  </si>
  <si>
    <t>13F via SEC EDGAR: https://www.sec.gov/edgar/search/</t>
  </si>
  <si>
    <t>Regulator partisanship / ML text / SEC &amp; Fed</t>
  </si>
  <si>
    <t>Machine-learning textual analysis identifying partisan phrases (e.g., "red tape," "climate change") in Congress and measuring their usage by SEC Commissioners and Federal Reserve Governors, 1930-2019.</t>
  </si>
  <si>
    <t>Congressional Record; SEC Commissioner &amp; Fed Governor speeches/transcripts</t>
  </si>
  <si>
    <t>US financial regulators (SEC, Federal Reserve), 1930-2019</t>
  </si>
  <si>
    <t>Document-Level</t>
  </si>
  <si>
    <t>https://dataverse.harvard.edu/dataset.xhtml?persistentId=doi:10.7910/DVN/UTMICU</t>
  </si>
  <si>
    <t>Sea-level rise / municipal bond yields</t>
  </si>
  <si>
    <t>Study of whether municipal-bond yields price sea-level-rise exposure, combining municipal-bond transaction/yield data with property-level sea-level-rise exposure measures (Climate Central / NOAA).</t>
  </si>
  <si>
    <t>Municipal-bond transactions/yields (MSRB); sea-level-rise exposure (Climate Central / NOAA)</t>
  </si>
  <si>
    <t>US municipal issuers in coastal areas</t>
  </si>
  <si>
    <t>Climate Central surging-seas / NOAA SLR public; MSRB EMMA: https://emma.msrb.org/</t>
  </si>
  <si>
    <t>https://dataverse.harvard.edu/dataset.xhtml?persistentId=doi:10.7910/DVN/W5HTWA</t>
  </si>
  <si>
    <t>Cap-and-trade / bank credit / emitters</t>
  </si>
  <si>
    <t>Estimates the effect of carbon-pricing policy on bank credit to emitting firms, exploiting geographic restrictions in California's cap-and-trade program and a free-permit-threshold discontinuity in the federal Waxman-Markey bill, using syndicated-loan, EPA emissions, and regulatory data.</t>
  </si>
  <si>
    <t>DealScan syndicated loans; EPA GHG emissions; California ARB cap-and-trade / permit data</t>
  </si>
  <si>
    <t>US emitting firms; California cap-and-trade setting</t>
  </si>
  <si>
    <t>https://dataverse.harvard.edu/dataset.xhtml?persistentId=doi:10.7910/DVN/RR86M2</t>
  </si>
  <si>
    <t xml:space="preserve">EPA GHGRP: 
 https://www.epa.gov/ghgreporting
SNC data:
https://www.federalreserve.gov/data.htm
</t>
  </si>
  <si>
    <t>Heat exposure / supply chains / adaptation</t>
  </si>
  <si>
    <t>Study of how supplier heat exposure reduces supplier and customer operating income and triggers supplier-relationship termination, combining FactSet Revere supply-chain links with firm financials and local temperature/heat-exposure data.</t>
  </si>
  <si>
    <t>FactSet Revere supply-chain links; firm financials; local temperature/heat-exposure data</t>
  </si>
  <si>
    <t>Global supplier-customer firm pairs</t>
  </si>
  <si>
    <t>Weather/temperature data public; FactSet Revere supply-chain data proprietary</t>
  </si>
  <si>
    <t>https://dataverse.harvard.edu/file.xhtml?fileId=7622069&amp;version=1.0</t>
  </si>
  <si>
    <t>Swedish CO2 tax / firm emissions elasticity</t>
  </si>
  <si>
    <t>Estimates the emission-to-carbon-price elasticity using a unique 26-year panel of CO2 emissions for Swedish manufacturing firms (administrative registers), exploiting Sweden's 1991 carbon tax and firm-level financial/abatement heterogeneity.</t>
  </si>
  <si>
    <t>Swedish manufacturing firm-level CO2 emissions (administrative registers, ~26 years); firm financials</t>
  </si>
  <si>
    <t>https://dataverse.harvard.edu/dataset.xhtml?persistentId=doi:10.7910/DVN/9NWRW8</t>
  </si>
  <si>
    <t>Adverse selection / climate risk / mortgage securitization (replication)</t>
  </si>
  <si>
    <t>Replication/comment re-examining Ouazad &amp; Kahn (2022): correcting the FHFA conforming-loan-limit construction reverses the original adverse-selection result, finding no evidence that lenders transfer climate risk via loan origination/securitization. Built from HMDA mortgage data, FHFA conforming loan limits, flood-zone designations, and GSE securitization data.</t>
  </si>
  <si>
    <t>HMDA mortgage data; FHFA conforming loan limits; FEMA/flood-zone designations; GSE securitization data</t>
  </si>
  <si>
    <t>US mortgage markets; replication of Ouazad &amp; Kahn (2022)</t>
  </si>
  <si>
    <t>https://dataverse.harvard.edu/dataset.xhtml?persistentId=doi:10.7910/DVN/ABVAYZ</t>
  </si>
  <si>
    <t>Climate risk measure / earnings calls / physical vs transition</t>
  </si>
  <si>
    <t>Constructs firm-level physical and transition climate-risk measures via textual analysis of earnings-call transcripts using purpose-built dictionaries, and links them to firms' proactive climate responses and financials.</t>
  </si>
  <si>
    <t>Earnings-call transcripts; CRSP/Compustat; constructed physical &amp; transition climate-risk dictionaries</t>
  </si>
  <si>
    <t>US (and global) firms with earnings-call coverage</t>
  </si>
  <si>
    <t>https://dataverse.harvard.edu/dataset.xhtml?persistentId=doi:10.7910/DVN/9DROKJ</t>
  </si>
  <si>
    <t>N/A — primarily theoretical</t>
  </si>
  <si>
    <t>Committed vs uncommitted ESG funds / engagement</t>
  </si>
  <si>
    <t>Compares ESG mutual funds with similar ESG holdings but different incentives to engage, showing "committed" ESG funds do more ESG information acquisition, longer-horizon investing, and more intense engagement with greater real impact; built from fund holdings, ESG fund classifications, and engagement/information-acquisition data.</t>
  </si>
  <si>
    <t>CRSP/Morningstar mutual-fund data; ESG fund classifications; fund engagement &amp; information-acquisition data</t>
  </si>
  <si>
    <t>US ESG mutual funds</t>
  </si>
  <si>
    <t>https://dataverse.harvard.edu/dataset.xhtml?persistentId=doi:10.7910/DVN/FTPRYX</t>
  </si>
  <si>
    <t>Catastrophe bonds / natural disaster risk / intermediary asset pricing</t>
  </si>
  <si>
    <t>Intermediary asset-pricing study of catastrophe (cat) bonds whose payoffs are linked to natural disasters, showing ~71% of cross-sectional variation in cat-bond expected returns is explained by a theoretically motivated measure of intermediaries' marginal utility; built from a security-level catastrophe-bond database with secondary-market trading data.</t>
  </si>
  <si>
    <t>Catastrophe-bond security-level database (e.g. Lane Financial/Artemis); secondary-market trading data; risk-free benchmark rates</t>
  </si>
  <si>
    <t>Global catastrophe-bond market (US-peril heavy); RFS Vol 39(3), 2026, pp.661-701</t>
  </si>
  <si>
    <t>https://dataverse.harvard.edu/dataset.xhtml?persistentId=doi:10.7910/DVN/MBBSGV</t>
  </si>
  <si>
    <t>Employee satisfaction / intangibles / stock returns</t>
  </si>
  <si>
    <t>Long-short equity portfolios built from Fortune's '100 Best Companies to Work For in America' list (an employee-satisfaction proxy) merged with stock returns, testing whether the market fully prices intangible human-capital value.</t>
  </si>
  <si>
    <t>Fortune '100 Best Companies to Work For' list; CRSP/Compustat returns</t>
  </si>
  <si>
    <t>US listed firms on the Best-Companies list</t>
  </si>
  <si>
    <t>Payday lending / disasters / financial inclusion</t>
  </si>
  <si>
    <t>County/ZIP-level study of whether payday-lender access mitigates financial distress (foreclosures, larcenies) after natural disasters, combining hand-collected payday-lender locations with FEMA disaster declarations and property/foreclosure data in California.</t>
  </si>
  <si>
    <t>Hand-collected payday-lender locations; FEMA disaster declarations; California foreclosure/property data</t>
  </si>
  <si>
    <t>California communities</t>
  </si>
  <si>
    <t>https://cemhs.asu.edu/sheldus</t>
  </si>
  <si>
    <t>Fund manager politics / values investing</t>
  </si>
  <si>
    <t>Study of whether US mutual-fund managers' personal political affiliation (from FEC campaign-contribution records) is reflected in portfolio tilts away from socially-irresponsible ('sin'/low-KLD) stocks, linking FEC donations, fund holdings, and KLD social ratings.</t>
  </si>
  <si>
    <t>FEC campaign-contribution records; mutual-fund holdings; KLD social ratings</t>
  </si>
  <si>
    <t>US mutual-fund managers</t>
  </si>
  <si>
    <t>FEC contributions public: https://www.fec.gov/data/</t>
  </si>
  <si>
    <t>CSR / stakeholder value / mergers</t>
  </si>
  <si>
    <t>Event study of acquirer CSR (KLD) and merger outcomes — announcement returns, deal completion, and long-run performance — testing the stakeholder-value-maximization view, using KLD CSR ratings, SDC M&amp;A deals, and CRSP returns.</t>
  </si>
  <si>
    <t>KLD CSR ratings; SDC Platinum M&amp;A deals; CRSP returns</t>
  </si>
  <si>
    <t>US acquirers in M&amp;A deals</t>
  </si>
  <si>
    <t>Corporate politics / going green / CSR</t>
  </si>
  <si>
    <t>Study of whether firms' political leanings (from employee/executive FEC donations and founder/location proxies) predict higher CSR scores, linking KLD CSR ratings, FEC political donations, and Compustat financials.</t>
  </si>
  <si>
    <t>KLD CSR ratings; FEC political donations; Compustat</t>
  </si>
  <si>
    <t>US listed firms</t>
  </si>
  <si>
    <t>CSR events / shareholder wealth (event study)</t>
  </si>
  <si>
    <t>Event study of stock-market reactions to corporate social-responsibility news, using KLD CSR strengths/concerns events matched to CRSP returns; finds investors respond negatively to some CSR and positively to offsetting/agency-reducing CSR.</t>
  </si>
  <si>
    <t>KLD CSR events (strengths/concerns); CRSP returns</t>
  </si>
  <si>
    <t>Socially responsible firms / CSR &amp; governance</t>
  </si>
  <si>
    <t>International study of whether CSR is driven by managerial agency problems, showing well-governed firms engage in more CSR, using Thomson Reuters ASSET4 ESG/CSR scores combined with governance and financial data across countries.</t>
  </si>
  <si>
    <t>Thomson Reuters ASSET4 ESG/CSR scores; governance variables; global firm financials</t>
  </si>
  <si>
    <t>Global listed firms</t>
  </si>
  <si>
    <t>Banks &amp; natural disasters / capital reallocation</t>
  </si>
  <si>
    <t>Study of how multi-market banks reallocate capital after local natural disasters, raising lending in disaster areas while contracting elsewhere, using FEMA disaster declarations, HMDA mortgage data, and bank Call Reports.</t>
  </si>
  <si>
    <t>FEMA disaster declarations; HMDA mortgage data; bank Call Reports</t>
  </si>
  <si>
    <t>US multi-market banks</t>
  </si>
  <si>
    <r>
      <rPr>
        <sz val="11"/>
        <color theme="1"/>
        <rFont val="Calibri (Body)"/>
      </rPr>
      <t>FEMA/SHELDUS:</t>
    </r>
    <r>
      <rPr>
        <u/>
        <sz val="11"/>
        <color theme="10"/>
        <rFont val="Calibri"/>
        <family val="2"/>
        <scheme val="minor"/>
      </rPr>
      <t xml:space="preserve">
https://cemhs.asu.edu/sheldus
https://www.consumerfinance.gov/data-research/hmda/
</t>
    </r>
    <r>
      <rPr>
        <sz val="11"/>
        <color theme="1"/>
        <rFont val="Calibri (Body)"/>
      </rPr>
      <t>HMDA:</t>
    </r>
    <r>
      <rPr>
        <u/>
        <sz val="11"/>
        <color theme="10"/>
        <rFont val="Calibri"/>
        <family val="2"/>
        <scheme val="minor"/>
      </rPr>
      <t xml:space="preserve">
https://www.consumerfinance.gov/data-research/hmda/</t>
    </r>
  </si>
  <si>
    <t>CEO daughters / female socialization / CSR</t>
  </si>
  <si>
    <t>Study showing CEOs with daughters run firms with higher CSR (especially diversity), combining KLD CSR ratings with hand-collected data on S&amp;P 500 executives' children and gender.</t>
  </si>
  <si>
    <t>KLD CSR ratings; hand-collected S&amp;P 500 CEO children/gender data</t>
  </si>
  <si>
    <t>S&amp;P 500 CEOs</t>
  </si>
  <si>
    <t>Institutional investors drive CSR (international)</t>
  </si>
  <si>
    <t>International evidence that institutional ownership raises firms' environmental and social (E&amp;S) performance, using Thomson Reuters ASSET4 E&amp;S scores and institutional-ownership data across many countries; identification via index/quasi-natural-experiment variation.</t>
  </si>
  <si>
    <t>Thomson Reuters ASSET4 E&amp;S scores; FactSet/Thomson institutional ownership; global firms</t>
  </si>
  <si>
    <t>Sea-level rise / coastal home prices</t>
  </si>
  <si>
    <t>Hedonic study showing homes exposed to projected sea-level rise sell at a discount (~7%), combining Zillow ZTRAX property transactions with NOAA sea-level-rise and elevation data.</t>
  </si>
  <si>
    <t>Zillow ZTRAX property transactions; NOAA sea-level-rise &amp; elevation data</t>
  </si>
  <si>
    <t>NOAA SLR public: https://coast.noaa.gov/slr/ (ZTRAX was free-to-researchers, now discontinued)</t>
  </si>
  <si>
    <t>Climate change / municipal bonds</t>
  </si>
  <si>
    <t>Study showing US counties more exposed to climate change / sea-level rise pay higher underwriting fees and yields on long-term municipal bonds, combining municipal-bond issuance data with climate-change and sea-level-rise exposure projections.</t>
  </si>
  <si>
    <t>Municipal-bond issuance/yields; sea-level-rise &amp; climate-change exposure projections</t>
  </si>
  <si>
    <t>US counties/municipal issuers</t>
  </si>
  <si>
    <t>Institutional shareholders &amp; CSR (RDD)</t>
  </si>
  <si>
    <t>Causal study using Russell 1000/2000 index-reconstitution discontinuities as exogenous variation in institutional ownership to show institutions increase firms' CSR, linking MSCI/KLD CSR ratings, Russell index membership, and 13F ownership.</t>
  </si>
  <si>
    <t>MSCI/KLD CSR ratings; Russell 1000/2000 index membership; 13F institutional ownership</t>
  </si>
  <si>
    <t>US listed firms near Russell index cutoff</t>
  </si>
  <si>
    <t>https://www.sec.gov/edgar/search/#</t>
  </si>
  <si>
    <t>Impact investing / willingness-to-pay (VC)</t>
  </si>
  <si>
    <t>Study of venture-capital impact funds showing investors accept lower expected returns for measurable social impact (a revealed willingness-to-pay), using Preqin VC/PE fund data with hand-classified impact vs traditional funds.</t>
  </si>
  <si>
    <t>Preqin VC/PE fund data; hand-classified impact funds; investor (LP) characteristics</t>
  </si>
  <si>
    <t>Global VC/PE funds &amp; limited partners</t>
  </si>
  <si>
    <t>Market expectations of warming / weather derivatives</t>
  </si>
  <si>
    <t>Study showing prices of weather (temperature) futures embed market expectations of warming consistent with climate-model trends, combining CME weather-derivative prices with NOAA station temperature records and climate-model projections.</t>
  </si>
  <si>
    <t>CME weather futures/derivatives prices; NOAA station temperature records; climate-model trends</t>
  </si>
  <si>
    <t>US weather-derivative markets / weather stations</t>
  </si>
  <si>
    <t>NOAA weather data:
https://www.noaa.gov/tools-and-resources/weather-and-climate-resources#Climate</t>
  </si>
  <si>
    <t>Impact investing contracts (implementation)</t>
  </si>
  <si>
    <t>Analysis of how impact is contractually implemented in private funds, using a hand-collected sample of impact-investing fund partnership agreements/side letters to document governance and impact-measurement provisions.</t>
  </si>
  <si>
    <t>Hand-collected impact-investing fund contracts / limited-partnership agreements</t>
  </si>
  <si>
    <t>Impact-investing funds (contract-level)</t>
  </si>
  <si>
    <t>Carbon risk / carbon premium</t>
  </si>
  <si>
    <t>Asset-pricing study showing US stocks of higher-carbon-emitting firms earn higher returns (a carbon premium), and that some investors divest on carbon intensity, using Trucost carbon emissions (Scope 1/2/3) merged with CRSP/Compustat.</t>
  </si>
  <si>
    <t>Trucost carbon emissions (Scope 1/2/3); CRSP/Compustat returns</t>
  </si>
  <si>
    <t>Socially responsible corporate customers (supply chain)</t>
  </si>
  <si>
    <t>Supply-chain study showing large customers' CSR propagates to their suppliers' CSR, combining customer-supplier links (Compustat segment / FactSet Revere) with ESG/CSR ratings for an international sample.</t>
  </si>
  <si>
    <t>Customer-supplier links (Compustat segments / FactSet Revere); ESG/CSR ratings; international firms</t>
  </si>
  <si>
    <t>Global customer-supplier firm pairs</t>
  </si>
  <si>
    <t>Corporate green bonds</t>
  </si>
  <si>
    <t>Study of corporate green-bond issuance showing positive stock-market reactions and real effects (improved environmental performance, more green innovation, green-investor clientele), using Bloomberg green-bond data with CRSP/Compustat and environmental ratings.</t>
  </si>
  <si>
    <t>Bloomberg corporate green-bond issues; CRSP/Compustat; environmental ratings/patents</t>
  </si>
  <si>
    <t>Global corporate green-bond issuers</t>
  </si>
  <si>
    <t>Big Three ownership &amp; carbon emissions</t>
  </si>
  <si>
    <t>International study showing Big Three (BlackRock, Vanguard, State Street) ownership and engagement are associated with subsequent reductions in investee carbon emissions, combining Trucost emissions, Big Three ownership (FactSet), and engagement data.</t>
  </si>
  <si>
    <t>Trucost carbon emissions; Big Three ownership (FactSet); engagement records; global firms</t>
  </si>
  <si>
    <t>Global large-cap firms</t>
  </si>
  <si>
    <t>ESG-efficient frontier (theory + empirics)</t>
  </si>
  <si>
    <t>Develops the ESG-efficient frontier — the best risk-return trade-off attainable at each ESG level — and characterizes optimal portfolios for ESG-motivated and ESG-aware investors, with an empirical implementation using ESG scores and market data.</t>
  </si>
  <si>
    <t>ESG-efficient-frontier theoretical model + empirical implementation</t>
  </si>
  <si>
    <t>ESG scores (e.g. Sustainalytics/MSCI governance &amp; E&amp;S); CRSP/market data</t>
  </si>
  <si>
    <t>US/global equities</t>
  </si>
  <si>
    <t>Climate policy real effects / emissions leakage</t>
  </si>
  <si>
    <t>Study of California's cap-and-trade program showing financially constrained firms shift emissions and activity to plants in other states (within-firm leakage/spillovers), using EPA plant-level emissions, the California program, and Compustat financials.</t>
  </si>
  <si>
    <t>Social interactions &amp; flood insurance</t>
  </si>
  <si>
    <t>Study showing social interactions affect households' flood-insurance take-up, combining FEMA National Flood Insurance Program (NFIP) policy data with flood events and social-connectedness proxies.</t>
  </si>
  <si>
    <t>Sustainable investing with ESG rating uncertainty (theory + empirics)</t>
  </si>
  <si>
    <t>Equilibrium asset-pricing model with uncertainty about firms' ESG ratings (rating disagreement), with empirical tests linking ESG-rating disagreement to the carbon/ESG premium and demand, using multiple ESG raters and market data.</t>
  </si>
  <si>
    <t>Dissecting green returns</t>
  </si>
  <si>
    <t>Shows that green US stocks outperformed brown over 2012-2020 largely because of unexpected increases in climate concern (not high expected returns), decomposing realized green returns using MSCI environmental scores, returns, and climate-concern shocks.</t>
  </si>
  <si>
    <t>Hurricane Harvey / aid distribution &amp; distress</t>
  </si>
  <si>
    <t>Study of Hurricane Harvey showing financial distress concentrated among lower-income flooded households while aid distribution favored higher-income areas, combining a consumer credit-bureau panel, FEMA/SBA disaster aid, and flood-depth data.</t>
  </si>
  <si>
    <t>Partisan residential sorting on climate risk</t>
  </si>
  <si>
    <t>Shows Republicans are relatively more willing to buy sea-level-rise-exposed coastal homes (partisan sorting on climate beliefs), combining Zillow ZTRAX transactions, voter-registration party data, and NOAA sea-level-rise exposure.</t>
  </si>
  <si>
    <t>Sustainability ratings &amp; fund-manager incentives</t>
  </si>
  <si>
    <t>Study of Morningstar sustainability ('globe') ratings showing fund managers tilt holdings to improve ratings and that ratings drive fund flows, using Morningstar globe ratings with mutual-fund flows and holdings.</t>
  </si>
  <si>
    <t>Risk &amp; return of impact investing funds</t>
  </si>
  <si>
    <t>Estimates the risk and return of impact-investing funds using fund cash-flow data and public-market-equivalent / benchmark methods, characterizing how impact funds' returns compare with conventional VC/PE and public markets.</t>
  </si>
  <si>
    <t>Pricing of sustainability-linked bonds</t>
  </si>
  <si>
    <t>Empirical study of sustainability-linked bonds (SLBs), whose coupons step up if ESG/KPI targets are missed, examining their pricing, greenium, and target-setting, using SLB issuance and pricing data (Bloomberg/Refinitiv).</t>
  </si>
  <si>
    <t>Moral preferences of investors (EXPERIMENT)</t>
  </si>
  <si>
    <t>Incentivized experiment eliciting investors' moral/social preferences — their willingness to pay (or sacrifice return) for firms' ethical behavior — using a controlled online experiment with real monetary stakes.</t>
  </si>
  <si>
    <t>The impact of impact investing (THEORY/quantitative)</t>
  </si>
  <si>
    <t>Theoretical and quantitative analysis arguing that the cost-of-capital impact of divestment/impact investing on targeted firms is small under realistic conditions; primarily a model with calibration rather than a novel dataset.</t>
  </si>
  <si>
    <t>Four facts about ESG beliefs &amp; investor portfolios</t>
  </si>
  <si>
    <t>Documents four facts about retail investors' ESG beliefs and how they relate to portfolio holdings, combining a large survey of Vanguard investors with their administrative portfolio-holding data.</t>
  </si>
  <si>
    <t>Biodiversity finance (framework + deal data)</t>
  </si>
  <si>
    <t>Introduces biodiversity finance — using private and blended capital to fund conservation/restoration — with a conceptual framework on 'monetizing' biodiversity and empirical evidence from deal-level data of a leading biodiversity-finance institution, supporting a three-dimensional (return, risk, biodiversity) efficient frontier.</t>
  </si>
  <si>
    <t>CRISK — systemic climate risk of banks</t>
  </si>
  <si>
    <t>Introduces CRISK, a market-based measure of the expected capital shortfall of banks in a climate stress scenario (a climate analogue to SRISK), estimated from bank equity/market data and a climate risk factor.</t>
  </si>
  <si>
    <t>Bank exit (coal divestment) policies &amp; emissions</t>
  </si>
  <si>
    <t>Uses bank coal-exit policies as a laboratory to show divestment has large real effects: targeted coal assets face reduced financing and are more likely to retire, cutting CO2 emissions by an estimated ~0.62-1 gigaton; built from hand-collected bank exit policies, the Global Coal Exit List, coal-plant data, and syndicated loans.</t>
  </si>
  <si>
    <t>Responsible investing &amp; university endowments</t>
  </si>
  <si>
    <t>Studies the costs and benefits of responsible/ESG investing for US university endowment funds, relating endowments' responsible-investing adoption to their asset allocation and returns, using endowment survey/filing data and returns.</t>
  </si>
  <si>
    <t>ESG lending / sustainability-linked loans</t>
  </si>
  <si>
    <t>Empirical study of ESG/sustainability-linked lending — loans whose pricing is tied to borrowers' ESG performance targets — examining their design, pricing, and incentive effects, using DealScan syndicated-loan data with ESG ratings.</t>
  </si>
  <si>
    <t>Green tilts (institutional green portfolio tilts)</t>
  </si>
  <si>
    <t>Measures institutional investors' 'green tilts' — the degree to which their equity holdings are tilted toward greener stocks — and how these tilts have grown and vary across institution types, using 13F holdings and MSCI green/environmental scores.</t>
  </si>
  <si>
    <t>Policy uncertainty &amp; green innovation</t>
  </si>
  <si>
    <t>Shows that heightened (climate/economic) policy uncertainty reduces firms' green innovation, measured by green patents, linking green-patent data to a policy-uncertainty index and firm characteristics.</t>
  </si>
  <si>
    <t>The benchmark greenium (German twin bonds)</t>
  </si>
  <si>
    <t>Exploits the 'twin' structure of German sovereign green and conventional bonds (2009-2023) and a dynamic no-arbitrage term-structure model to estimate a time-varying greenium driven solely by investors' green values, distinct from the raw green spread.</t>
  </si>
  <si>
    <t>Home energy-efficiency investments &amp; regulation</t>
  </si>
  <si>
    <t>Uses the UK Minimum Energy Efficiency Standard (requiring rented properties to meet minimum energy-efficiency ratings) in an instrumented difference-in-differences design to show the regulation triggers low-cost retrofits, with little pass-through to rents; built on a large sample of residential Energy Performance Certificate (EPC) records.</t>
  </si>
  <si>
    <t>EPA plant-level emissions; California cap-and-trade (AB 32); Compustat firm financials</t>
  </si>
  <si>
    <t>US multi-plant firms; California vs other states</t>
  </si>
  <si>
    <t>FEMA NFIP flood-insurance policy data; flood events; social-connectedness proxies</t>
  </si>
  <si>
    <t>US households (flood-zone)</t>
  </si>
  <si>
    <t>Equilibrium model with ESG rating uncertainty + empirics</t>
  </si>
  <si>
    <t>Multiple ESG raters (rating-disagreement measure); market data</t>
  </si>
  <si>
    <t>MSCI environmental scores; CRSP returns; climate-concern shocks (e.g. MCCC index, German green factor)</t>
  </si>
  <si>
    <t>Consumer credit-bureau panel; FEMA/SBA disaster aid; Hurricane Harvey flood-depth data</t>
  </si>
  <si>
    <t>Houston / Hurricane Harvey-affected households</t>
  </si>
  <si>
    <t>Zillow ZTRAX transactions; voter-registration party data; NOAA sea-level-rise exposure</t>
  </si>
  <si>
    <t>Morningstar sustainability (globe) ratings; mutual-fund flows &amp; holdings</t>
  </si>
  <si>
    <t>Global mutual funds</t>
  </si>
  <si>
    <t>Impact-fund (VC/PE) cash-flow data; public-market benchmarks</t>
  </si>
  <si>
    <t>Impact-investing funds</t>
  </si>
  <si>
    <t>Sustainability-linked bond issues &amp; pricing (Bloomberg/Refinitiv); bond/issuer characteristics</t>
  </si>
  <si>
    <t>Global SLB issuers</t>
  </si>
  <si>
    <t>Incentivized online experiment on investor moral preferences (real monetary stakes)</t>
  </si>
  <si>
    <t>Experimental participants</t>
  </si>
  <si>
    <t>Theoretical model + calibration of cost-of-capital impact</t>
  </si>
  <si>
    <t>Primarily theoretical; calibrated using market data</t>
  </si>
  <si>
    <t>Vanguard investor survey; administrative individual portfolio holdings</t>
  </si>
  <si>
    <t>US retail (Vanguard) investors</t>
  </si>
  <si>
    <t>Conceptual framework + deal-level empirical analysis</t>
  </si>
  <si>
    <t>Deal-level data from a leading biodiversity-finance institution (blended-finance deals)</t>
  </si>
  <si>
    <t>Biodiversity-finance deals (global)</t>
  </si>
  <si>
    <t>Bank equity &amp; market data; climate risk factor (e.g. stranded-asset / climate-news series)</t>
  </si>
  <si>
    <t>Large global/US banks</t>
  </si>
  <si>
    <t>Hand-collected bank coal-exit policies; Global Coal Exit List (Urgewald); coal-plant data; DealScan loans</t>
  </si>
  <si>
    <t>Global banks &amp; coal assets</t>
  </si>
  <si>
    <t>University-endowment data (NACUBO survey / filings); endowment returns &amp; holdings</t>
  </si>
  <si>
    <t>US university endowment funds</t>
  </si>
  <si>
    <t>DealScan syndicated loans (sustainability-linked provisions); ESG ratings; borrower financials</t>
  </si>
  <si>
    <t>Global syndicated-loan borrowers</t>
  </si>
  <si>
    <t>13F institutional holdings; MSCI green/environmental scores; CRSP</t>
  </si>
  <si>
    <t>US institutional investors</t>
  </si>
  <si>
    <t>Green-patent data; (climate) economic policy-uncertainty index; firm financials</t>
  </si>
  <si>
    <t>Dynamic no-arbitrage term-structure model</t>
  </si>
  <si>
    <t>German sovereign green &amp; conventional 'twin' bond prices (2009-2023); Bundesbank/market data</t>
  </si>
  <si>
    <t>Germany (sovereign green vs conventional twin bonds)</t>
  </si>
  <si>
    <t>UK Energy Performance Certificate (EPC) records; Minimum Energy Efficiency Standard regulation; property/rental data</t>
  </si>
  <si>
    <t>United Kingdom (England) — rented residential properties</t>
  </si>
  <si>
    <t>England EPC register is public: https://epc.opendatacommunities.org/</t>
  </si>
  <si>
    <t>EPA emissions public:
 https://ghgdata.epa.gov/flight/?viewType=map</t>
  </si>
  <si>
    <t>FEMA NFIP: 
https://www.fema.gov/openfema-data-page/fima-nfip-redacted-policies-v2</t>
  </si>
  <si>
    <t>FEMA NFIP: 
https://www.fema.gov/openfema-data-page/fima-nfip-redacted-policies-v2
Risk Map: 
https://www.fema.gov/flood-maps/tools-resources/risk-map</t>
  </si>
  <si>
    <t>https://data.mendeley.com/datasets/dnskbdnmsz/1</t>
  </si>
  <si>
    <t>Ztrax data (on demand):
 https://www.zillow.com/research/ztrax/
NOAA SLR viewer: 
https://coast.noaa.gov/digitalcoast/tools/slr.html
L2 voter data:
https://www.l2-data.com/
HMDA data: 
https://www.consumerfinance.gov/data-research/hmda/</t>
  </si>
  <si>
    <t>https://data.mendeley.com/datasets/7pbjvjsbvb/2</t>
  </si>
  <si>
    <t>https://zenodo.org/records/13282899</t>
  </si>
  <si>
    <t>https://data.mendeley.com/datasets/y3g8bx3vb4/1</t>
  </si>
  <si>
    <t>https://data.mendeley.com/datasets/d5gxv5tc8b/2</t>
  </si>
  <si>
    <t>https://data.mendeley.com/datasets/gzp97wdddc/1</t>
  </si>
  <si>
    <t>https://data.mendeley.com/datasets/79fm698pyx/1</t>
  </si>
  <si>
    <t>https://data.mendeley.com/datasets/hpgmk6ctwh/2</t>
  </si>
  <si>
    <t>https://data.mendeley.com/datasets/5pzr9t645v/2</t>
  </si>
  <si>
    <t>https://dataverse.harvard.edu/dataset.xhtml?persistentId=doi:10.7910/DVN/5LX4LD</t>
  </si>
  <si>
    <t>https://data.mendeley.com/datasets/vpp2jysgyh/2</t>
  </si>
  <si>
    <t>https://data.mendeley.com/datasets/zhrnypkcyb/2</t>
  </si>
  <si>
    <t>https://data.mendeley.com/datasets/y5p3vdzzwr/1</t>
  </si>
  <si>
    <t>https://data.mendeley.com/datasets/5vhyvhfmh3/1</t>
  </si>
  <si>
    <t>https://data.mendeley.com/datasets/b5f9rp823c/2</t>
  </si>
  <si>
    <t>ISSN</t>
  </si>
  <si>
    <t>Est. After
Title/abstract Screen</t>
  </si>
  <si>
    <t>0022-1082</t>
  </si>
  <si>
    <t>0304-405X</t>
  </si>
  <si>
    <t>0893-9454</t>
  </si>
  <si>
    <t>1572-3097</t>
  </si>
  <si>
    <t>Step 1 — Scopus search string (adapt per journal):</t>
  </si>
  <si>
    <t>Key anchor for calibration:</t>
  </si>
  <si>
    <t>Check supporting papers file</t>
  </si>
  <si>
    <t>EFFORT ESTIMATE  (based on final in-scope paper count)</t>
  </si>
  <si>
    <t>Est. Papers In-Scope</t>
  </si>
  <si>
    <t>~0.1 hrs</t>
  </si>
  <si>
    <t>~200 (pre-filter)</t>
  </si>
  <si>
    <t>~20 hrs</t>
  </si>
  <si>
    <t>~6 min per paper; can batch-screen</t>
  </si>
  <si>
    <t>~0.75 hrs</t>
  </si>
  <si>
    <t>~100-150 (post-filter)</t>
  </si>
  <si>
    <t>~75-110 hrs</t>
  </si>
  <si>
    <t>~45 min per paper; core workload</t>
  </si>
  <si>
    <t>GitHub entry &amp; data check</t>
  </si>
  <si>
    <t>~0.25 hrs</t>
  </si>
  <si>
    <t>~100-150</t>
  </si>
  <si>
    <t>~25-38 hrs</t>
  </si>
  <si>
    <t>—</t>
  </si>
  <si>
    <t>~35 hrs</t>
  </si>
  <si>
    <t>Fixed; does not scale with paper count</t>
  </si>
  <si>
    <t>~70 hrs</t>
  </si>
  <si>
    <t>TOTAL ESTIMATE</t>
  </si>
  <si>
    <t>~225-273 hrs</t>
  </si>
  <si>
    <t>ISSN ( XXXX-XXXX ) AND PUBYEAR &gt; 2009 AND PUBYEAR &lt; 2027 DOCTYPE(ar) TITLE-ABS-KEY ( ( "climate risk" OR "climate change" OR "climate finance" OR "physical risk" OR "transition risk" OR "carbon risk" OR "carbon emissions" OR "carbon footprint" OR "greenhouse gas" OR "GHG" OR "stranded assets" OR "net zero" OR "decarbonization" OR "low carbon" OR "Paris agreement" OR "global warming" OR "temperature risk" OR "flood risk" OR "sea level rise" OR "extreme weather" OR "natural disaster" OR "wildfire" OR "drought" OR "biodiversity" OR "nature risk" OR "ecosystem" OR "TNFD" OR "deforestation" OR "ESG" OR "sustainable finance" OR "sustainable investment" OR "responsible investment" OR "SRI" OR "impact investing" OR "green finance" OR "green bond" OR "sustainability-linked" OR "social bond" OR "ESG disclosure" OR "ESG rating" OR "ESG score" OR "TCFD" OR "CSRD" OR "CDP disclosure" OR "carbon disclosure" OR "sustainability reporting" OR "greenwashing" OR "corporate social responsibility" OR "CSR" OR "Scope 1" OR "Scope 2" OR "Scope 3" OR "carbon market" OR "carbon price" OR "carbon tax" OR "emission trading" OR "EU ETS" OR "cap and trade" OR "carbon credit" OR "green loan" OR "ESG fund" OR "climate bond" OR "sustainability" OR "sustainable"))</t>
  </si>
  <si>
    <t>US-listed firms</t>
  </si>
  <si>
    <t>Raw Data</t>
  </si>
  <si>
    <t>Green patent</t>
  </si>
  <si>
    <t>Politics</t>
  </si>
  <si>
    <t>Supply chain</t>
  </si>
  <si>
    <t>https://onlinelibrary.wiley.com/action/downloadSupplement?doi=10.1111%2Fjofi.70004&amp;file=jofi70004-sup-0002-ReplicationCode.zip</t>
  </si>
  <si>
    <t>https://onlinelibrary.wiley.com/action/downloadSupplement?doi=10.1111%2Fjofi.13219&amp;file=jofi13219-sup-0002-ReplicationCode.zip</t>
  </si>
  <si>
    <t>https://onlinelibrary.wiley.com/action/downloadSupplement?doi=10.1111%2Fjofi.13272&amp;file=jofi13272-sup-0002-ReplicationCode.zip</t>
  </si>
  <si>
    <t>https://onlinelibrary.wiley.com/action/downloadSupplement?doi=10.1111%2Fjofi.13402&amp;file=jofi13402-sup-0002-ReplicationCode.zip</t>
  </si>
  <si>
    <t>https://onlinelibrary.wiley.com/action/downloadSupplement?doi=10.1111%2Fjofi.13416&amp;file=jofi13416-sup-0002-ReplicationCode.zip</t>
  </si>
  <si>
    <t>https://onlinelibrary.wiley.com/action/downloadSupplement?doi=10.1111%2Fjofi.13412&amp;file=jofi13412-sup-0002-ReplicationCode.zip</t>
  </si>
  <si>
    <t>https://onlinelibrary.wiley.com/action/downloadSupplement?doi=10.1111%2Fjofi.13498&amp;file=jofi13498-sup-0002-ReplicationCode.zip</t>
  </si>
  <si>
    <t>https://onlinelibrary.wiley.com/action/downloadSupplement?doi=10.1111%2Fjofi.13499&amp;file=jofi13499-sup-0002-ReplicationCode.zip</t>
  </si>
  <si>
    <t>https://onlinelibrary.wiley.com/action/downloadSupplement?doi=10.1111%2Fjofi.70029&amp;file=jofi70029-sup-0002-Replication-Code.zip</t>
  </si>
  <si>
    <t>https://onlinelibrary.wiley.com/action/downloadSupplement?doi=10.1111%2Fjofi.70008&amp;file=jofi70008-sup-0001-ReplicationCode.zip</t>
  </si>
  <si>
    <t>jfinancialeconomics@gmail.com</t>
  </si>
  <si>
    <t xml:space="preserve">https://doi.org/10.1093/rof/rfad002 </t>
  </si>
  <si>
    <t xml:space="preserve">TOPIC BINARY
</t>
  </si>
  <si>
    <t xml:space="preserve"> 8 binary columns (one per topic). Marked Y if the paper addresses that topic at all — even as a secondary contribution. Left blank if not. This allows multi-label coding and enables frequency heatmaps across topic × method dimensions.</t>
  </si>
  <si>
    <t>Weather financial instruments</t>
  </si>
  <si>
    <t>Topic:
ESG Ratings</t>
  </si>
  <si>
    <t>Data Source (primary)</t>
  </si>
  <si>
    <t xml:space="preserve">Range </t>
  </si>
  <si>
    <t>January 2010 (Volume 95, issue 1) to April 2026 ( Volume 178)</t>
  </si>
  <si>
    <t>January 2010 (Volume 23, issue 1) to April 2026 (Volume 34 issue 4)</t>
  </si>
  <si>
    <t>(No January issue) February 2010 (Volume 65, issue 1) to April 2026 (Volume 81 issue 2)</t>
  </si>
  <si>
    <t>January 2010 (Volume 14, issue 1) to Marh 2026 (Volume 30 issue 2) (No april issue)</t>
  </si>
  <si>
    <t>OH, S.S., SEN, I. and TENEKEDJIEVA, A.-M. (2026), Pricing of Climate Risk Insurance: Regulation and Cross-Subsidies. J Finance, 81: 1161-1215. https://doi.org/10.1111/jofi.70029</t>
  </si>
  <si>
    <t>Paper in Journal issues after April 2026 were not taken into account (corpus Forzen</t>
  </si>
  <si>
    <t>Method (if other)</t>
  </si>
  <si>
    <t>Data Source (if other)</t>
  </si>
  <si>
    <t>Data Access Link</t>
  </si>
  <si>
    <t>Code Access Link</t>
  </si>
  <si>
    <t>Six major markets: USA (main contributor), Japan and China (net receivers), plus three otherst</t>
  </si>
  <si>
    <t>Sweden — manufacturing firms; carbon tax since 1991</t>
  </si>
  <si>
    <t>Zillow ZTRAX; Global Mangrove Watch (JAXA/Aberystwyth); NOAA/NHC hurricane tracks; FEMA NFHL; US Census TIGER; USGS elevation; Case-Shiller HPI (FRED)</t>
  </si>
  <si>
    <t>Florida only</t>
  </si>
  <si>
    <t>PIPELINE count of papers in scope per journal</t>
  </si>
  <si>
    <t xml:space="preserve"> TOTAL</t>
  </si>
  <si>
    <t>Search protocol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</si>
</sst>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b/>
      <sz val="9"/>
      <color rgb="FFFFFFFF"/>
      <name val="Arial"/>
      <family val="2"/>
    </font>
    <font>
      <sz val="9"/>
      <color rgb="FF000000"/>
      <name val="Arial"/>
      <family val="2"/>
    </font>
    <font>
      <b/>
      <sz val="12"/>
      <color rgb="FFFFFFFF"/>
      <name val="Arial"/>
      <family val="2"/>
    </font>
    <font>
      <b/>
      <sz val="10"/>
      <color rgb="FFFFFFFF"/>
      <name val="Arial"/>
      <family val="2"/>
    </font>
    <font>
      <b/>
      <sz val="9"/>
      <color rgb="FF1F3864"/>
      <name val="Arial"/>
      <family val="2"/>
    </font>
    <font>
      <b/>
      <sz val="11"/>
      <color rgb="FFFFFFFF"/>
      <name val="Arial"/>
      <family val="2"/>
    </font>
    <font>
      <u/>
      <sz val="11"/>
      <color theme="10"/>
      <name val="Calibri"/>
      <family val="2"/>
      <scheme val="minor"/>
    </font>
    <font>
      <sz val="8"/>
      <name val="Calibri"/>
      <family val="2"/>
      <scheme val="minor"/>
    </font>
    <font>
      <sz val="11"/>
      <color theme="1"/>
      <name val="Calibri (Body)"/>
    </font>
    <font>
      <b/>
      <sz val="8"/>
      <color rgb="FF1F3864"/>
      <name val="Arial"/>
      <family val="2"/>
    </font>
    <font>
      <i/>
      <sz val="8"/>
      <color rgb="FF404040"/>
      <name val="Arial"/>
      <family val="2"/>
    </font>
    <font>
      <sz val="8"/>
      <color rgb="FF000000"/>
      <name val="Arial"/>
      <family val="2"/>
    </font>
  </fonts>
  <fills count="21">
    <fill>
      <patternFill patternType="none"/>
    </fill>
    <fill>
      <patternFill patternType="gray125"/>
    </fill>
    <fill>
      <patternFill patternType="solid">
        <fgColor rgb="FF1F3864"/>
      </patternFill>
    </fill>
    <fill>
      <patternFill patternType="solid">
        <fgColor rgb="FF1F6B3E"/>
      </patternFill>
    </fill>
    <fill>
      <patternFill patternType="solid">
        <fgColor rgb="FF2E75B6"/>
      </patternFill>
    </fill>
    <fill>
      <patternFill patternType="solid">
        <fgColor rgb="FF7030A0"/>
      </patternFill>
    </fill>
    <fill>
      <patternFill patternType="solid">
        <fgColor rgb="FF4472C4"/>
      </patternFill>
    </fill>
    <fill>
      <patternFill patternType="solid">
        <fgColor rgb="FFC55A11"/>
      </patternFill>
    </fill>
    <fill>
      <patternFill patternType="solid">
        <fgColor rgb="FF375623"/>
      </patternFill>
    </fill>
    <fill>
      <patternFill patternType="solid">
        <fgColor rgb="FF404040"/>
      </patternFill>
    </fill>
    <fill>
      <patternFill patternType="solid">
        <fgColor rgb="FF2D7D4E"/>
      </patternFill>
    </fill>
    <fill>
      <patternFill patternType="solid">
        <fgColor rgb="FFF4B942"/>
      </patternFill>
    </fill>
    <fill>
      <patternFill patternType="solid">
        <fgColor rgb="FFDEEAF1"/>
      </patternFill>
    </fill>
    <fill>
      <patternFill patternType="solid">
        <fgColor rgb="FFFFFFFF"/>
      </patternFill>
    </fill>
    <fill>
      <patternFill patternType="solid">
        <fgColor rgb="FFF2F2F2"/>
      </patternFill>
    </fill>
    <fill>
      <patternFill patternType="solid">
        <fgColor rgb="FFBDD7EE"/>
      </patternFill>
    </fill>
    <fill>
      <patternFill patternType="solid">
        <fgColor rgb="FF606060"/>
      </patternFill>
    </fill>
    <fill>
      <patternFill patternType="solid">
        <fgColor rgb="FFE2EFDA"/>
      </patternFill>
    </fill>
    <fill>
      <patternFill patternType="solid">
        <fgColor theme="7" tint="0.39997558519241921"/>
        <bgColor indexed="64"/>
      </patternFill>
    </fill>
    <fill>
      <patternFill patternType="solid">
        <fgColor theme="3" tint="0.79998168889431442"/>
        <bgColor indexed="64"/>
      </patternFill>
    </fill>
    <fill>
      <patternFill patternType="solid">
        <fgColor theme="7" tint="0.79998168889431442"/>
        <bgColor indexed="64"/>
      </patternFill>
    </fill>
  </fills>
  <borders count="7">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style="thin">
        <color rgb="FFBFBFBF"/>
      </left>
      <right style="thin">
        <color rgb="FFBFBFBF"/>
      </right>
      <top/>
      <bottom/>
      <diagonal/>
    </border>
    <border>
      <left/>
      <right/>
      <top/>
      <bottom style="thin">
        <color rgb="FFBFBFBF"/>
      </bottom>
      <diagonal/>
    </border>
  </borders>
  <cellStyleXfs count="2">
    <xf numFmtId="0" fontId="0" fillId="0" borderId="0"/>
    <xf numFmtId="0" fontId="7" fillId="0" borderId="0" applyNumberFormat="0" applyFill="0" applyBorder="0" applyAlignment="0" applyProtection="0"/>
  </cellStyleXfs>
  <cellXfs count="58">
    <xf numFmtId="0" fontId="0" fillId="0" borderId="0" xfId="0"/>
    <xf numFmtId="0" fontId="1" fillId="2"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1" fillId="5" borderId="1" xfId="0" applyFont="1" applyFill="1" applyBorder="1" applyAlignment="1">
      <alignment horizontal="center" vertical="center" wrapText="1"/>
    </xf>
    <xf numFmtId="0" fontId="1" fillId="6" borderId="1" xfId="0" applyFont="1" applyFill="1" applyBorder="1" applyAlignment="1">
      <alignment horizontal="center" vertical="center" wrapText="1"/>
    </xf>
    <xf numFmtId="0" fontId="1" fillId="7" borderId="1" xfId="0" applyFont="1" applyFill="1" applyBorder="1" applyAlignment="1">
      <alignment horizontal="center" vertical="center" wrapText="1"/>
    </xf>
    <xf numFmtId="0" fontId="1" fillId="8" borderId="1" xfId="0" applyFont="1" applyFill="1" applyBorder="1" applyAlignment="1">
      <alignment horizontal="center" vertical="center" wrapText="1"/>
    </xf>
    <xf numFmtId="0" fontId="1" fillId="9" borderId="1" xfId="0" applyFont="1" applyFill="1" applyBorder="1" applyAlignment="1">
      <alignment horizontal="center" vertical="center" wrapText="1"/>
    </xf>
    <xf numFmtId="0" fontId="1" fillId="10" borderId="1" xfId="0" applyFont="1" applyFill="1" applyBorder="1" applyAlignment="1">
      <alignment horizontal="center" vertical="center" wrapText="1"/>
    </xf>
    <xf numFmtId="0" fontId="1" fillId="11" borderId="1" xfId="0" applyFont="1" applyFill="1" applyBorder="1" applyAlignment="1">
      <alignment horizontal="center" vertical="center" wrapText="1"/>
    </xf>
    <xf numFmtId="0" fontId="2" fillId="12" borderId="1" xfId="0" applyFont="1" applyFill="1" applyBorder="1" applyAlignment="1">
      <alignment horizontal="center" vertical="center" wrapText="1"/>
    </xf>
    <xf numFmtId="0" fontId="2" fillId="12" borderId="1" xfId="0" applyFont="1" applyFill="1" applyBorder="1" applyAlignment="1">
      <alignment horizontal="left" vertical="center" wrapText="1"/>
    </xf>
    <xf numFmtId="0" fontId="2" fillId="13" borderId="1" xfId="0" applyFont="1" applyFill="1" applyBorder="1" applyAlignment="1">
      <alignment horizontal="center" vertical="center" wrapText="1"/>
    </xf>
    <xf numFmtId="0" fontId="2" fillId="13" borderId="1" xfId="0" applyFont="1" applyFill="1" applyBorder="1" applyAlignment="1">
      <alignment horizontal="left" vertical="center" wrapText="1"/>
    </xf>
    <xf numFmtId="0" fontId="4" fillId="4" borderId="1" xfId="0" applyFont="1" applyFill="1" applyBorder="1" applyAlignment="1">
      <alignment horizontal="center" vertical="center" wrapText="1"/>
    </xf>
    <xf numFmtId="0" fontId="5" fillId="12" borderId="1" xfId="0" applyFont="1" applyFill="1" applyBorder="1" applyAlignment="1">
      <alignment horizontal="left" vertical="center" wrapText="1"/>
    </xf>
    <xf numFmtId="0" fontId="2" fillId="14" borderId="1" xfId="0" applyFont="1" applyFill="1" applyBorder="1" applyAlignment="1">
      <alignment horizontal="left" vertical="center" wrapText="1"/>
    </xf>
    <xf numFmtId="0" fontId="5" fillId="14" borderId="1" xfId="0" applyFont="1" applyFill="1" applyBorder="1" applyAlignment="1">
      <alignment horizontal="left" vertical="center" wrapText="1"/>
    </xf>
    <xf numFmtId="0" fontId="5" fillId="14" borderId="1" xfId="0" applyFont="1" applyFill="1" applyBorder="1" applyAlignment="1">
      <alignment horizontal="center" vertical="center" wrapText="1"/>
    </xf>
    <xf numFmtId="0" fontId="1" fillId="15" borderId="1" xfId="0" applyFont="1" applyFill="1" applyBorder="1" applyAlignment="1">
      <alignment horizontal="center" vertical="center" wrapText="1"/>
    </xf>
    <xf numFmtId="0" fontId="1" fillId="16" borderId="1" xfId="0" applyFont="1" applyFill="1" applyBorder="1" applyAlignment="1">
      <alignment horizontal="center" vertical="center" wrapText="1"/>
    </xf>
    <xf numFmtId="0" fontId="2" fillId="17" borderId="1" xfId="0" applyFont="1" applyFill="1" applyBorder="1" applyAlignment="1">
      <alignment horizontal="center" vertical="center" wrapText="1"/>
    </xf>
    <xf numFmtId="0" fontId="1" fillId="18" borderId="1" xfId="0" applyFont="1" applyFill="1" applyBorder="1" applyAlignment="1">
      <alignment horizontal="center" vertical="center" wrapText="1"/>
    </xf>
    <xf numFmtId="0" fontId="1" fillId="19" borderId="5" xfId="0" applyFont="1" applyFill="1" applyBorder="1" applyAlignment="1">
      <alignment horizontal="center" vertical="center" wrapText="1"/>
    </xf>
    <xf numFmtId="0" fontId="1" fillId="20" borderId="1" xfId="0" applyFont="1" applyFill="1" applyBorder="1" applyAlignment="1">
      <alignment horizontal="center" vertical="center" wrapText="1"/>
    </xf>
    <xf numFmtId="0" fontId="5" fillId="15" borderId="1" xfId="0" applyFont="1" applyFill="1" applyBorder="1" applyAlignment="1">
      <alignment horizontal="left" vertical="center" wrapText="1"/>
    </xf>
    <xf numFmtId="0" fontId="5" fillId="15" borderId="1" xfId="0" applyFont="1" applyFill="1" applyBorder="1" applyAlignment="1">
      <alignment horizontal="center" vertical="center" wrapText="1"/>
    </xf>
    <xf numFmtId="0" fontId="0" fillId="13" borderId="0" xfId="0" applyFill="1"/>
    <xf numFmtId="0" fontId="10" fillId="12" borderId="1" xfId="0" applyFont="1" applyFill="1" applyBorder="1" applyAlignment="1">
      <alignment horizontal="left" vertical="center" wrapText="1"/>
    </xf>
    <xf numFmtId="0" fontId="10" fillId="13" borderId="1" xfId="0" applyFont="1" applyFill="1" applyBorder="1" applyAlignment="1">
      <alignment horizontal="left" vertical="center" wrapText="1"/>
    </xf>
    <xf numFmtId="0" fontId="2" fillId="0" borderId="1" xfId="0" applyFont="1" applyBorder="1" applyAlignment="1">
      <alignment horizontal="center" vertical="center" wrapText="1"/>
    </xf>
    <xf numFmtId="0" fontId="12" fillId="12" borderId="1" xfId="0" applyFont="1" applyFill="1" applyBorder="1" applyAlignment="1">
      <alignment horizontal="left" vertical="center" wrapText="1"/>
    </xf>
    <xf numFmtId="0" fontId="12" fillId="13" borderId="1" xfId="0" applyFont="1" applyFill="1" applyBorder="1" applyAlignment="1">
      <alignment horizontal="left" vertical="center" wrapText="1"/>
    </xf>
    <xf numFmtId="0" fontId="7" fillId="12" borderId="1" xfId="1" applyFill="1" applyBorder="1" applyAlignment="1">
      <alignment horizontal="center" vertical="center" wrapText="1"/>
    </xf>
    <xf numFmtId="0" fontId="7" fillId="13" borderId="1" xfId="1" applyFill="1" applyBorder="1" applyAlignment="1">
      <alignment horizontal="center" vertical="center" wrapText="1"/>
    </xf>
    <xf numFmtId="0" fontId="6" fillId="2" borderId="6"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0" fillId="0" borderId="0" xfId="0"/>
    <xf numFmtId="0" fontId="11" fillId="12" borderId="1" xfId="0" applyFont="1" applyFill="1" applyBorder="1" applyAlignment="1">
      <alignment horizontal="left" vertical="center" wrapText="1"/>
    </xf>
    <xf numFmtId="0" fontId="0" fillId="0" borderId="2" xfId="0" applyBorder="1"/>
    <xf numFmtId="0" fontId="0" fillId="0" borderId="3" xfId="0" applyBorder="1"/>
    <xf numFmtId="0" fontId="11" fillId="13" borderId="1" xfId="0" applyFont="1" applyFill="1" applyBorder="1" applyAlignment="1">
      <alignment horizontal="left" vertical="center" wrapText="1"/>
    </xf>
    <xf numFmtId="0" fontId="1" fillId="2" borderId="4"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5" borderId="4" xfId="0" applyFont="1" applyFill="1" applyBorder="1" applyAlignment="1">
      <alignment horizontal="center" vertical="center" wrapText="1"/>
    </xf>
    <xf numFmtId="0" fontId="1" fillId="5" borderId="2" xfId="0" applyFont="1" applyFill="1" applyBorder="1" applyAlignment="1">
      <alignment horizontal="center" vertical="center" wrapText="1"/>
    </xf>
    <xf numFmtId="0" fontId="1" fillId="5" borderId="3" xfId="0" applyFont="1" applyFill="1" applyBorder="1" applyAlignment="1">
      <alignment horizontal="center" vertical="center" wrapText="1"/>
    </xf>
    <xf numFmtId="0" fontId="1" fillId="8" borderId="4" xfId="0" applyFont="1" applyFill="1" applyBorder="1" applyAlignment="1">
      <alignment horizontal="center" vertical="center" wrapText="1"/>
    </xf>
    <xf numFmtId="0" fontId="1" fillId="8" borderId="2" xfId="0" applyFont="1" applyFill="1" applyBorder="1" applyAlignment="1">
      <alignment horizontal="center" vertical="center" wrapText="1"/>
    </xf>
    <xf numFmtId="0" fontId="1" fillId="8" borderId="3"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6"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1" fillId="4" borderId="3" xfId="0" applyFont="1" applyFill="1" applyBorder="1" applyAlignment="1">
      <alignment horizontal="center" vertical="center" wrapText="1"/>
    </xf>
    <xf numFmtId="0" fontId="1" fillId="7" borderId="4" xfId="0" applyFont="1" applyFill="1" applyBorder="1" applyAlignment="1">
      <alignment horizontal="center" vertical="center" wrapText="1"/>
    </xf>
    <xf numFmtId="0" fontId="1" fillId="7" borderId="3" xfId="0" applyFont="1" applyFill="1" applyBorder="1" applyAlignment="1">
      <alignment horizontal="center" vertical="center" wrapText="1"/>
    </xf>
    <xf numFmtId="0" fontId="3" fillId="2" borderId="0" xfId="0" applyFont="1" applyFill="1" applyAlignment="1">
      <alignment horizontal="center" vertical="center"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person displayName="Bastien Tognolini" id="{504327B8-40A3-584D-B545-946AAE54EDE6}" userId="S::bastien.tognolini@uzh.ch::c57d0bc2-3671-4d8b-b8c4-9c6ae87621ac"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W1" dT="2026-05-04T07:40:16.55" personId="{504327B8-40A3-584D-B545-946AAE54EDE6}" id="{00707F9B-B4BE-0744-A09E-9AAA14B1B16C}">
    <text xml:space="preserve">if star, abnormal end date </text>
  </threadedComment>
  <threadedComment ref="Y7" dT="2026-05-04T19:41:36.52" personId="{504327B8-40A3-584D-B545-946AAE54EDE6}" id="{04386B18-EC4B-8D46-8B87-11332DA9FE36}">
    <text xml:space="preserve">Data base updated (last updated 2024)
</text>
  </threadedComment>
  <threadedComment ref="AC72" dT="2026-05-15T10:29:19.17" personId="{504327B8-40A3-584D-B545-946AAE54EDE6}" id="{FE04C77B-A94C-0D41-8445-8FE65ED39201}">
    <text>to check</text>
  </threadedComment>
</ThreadedComments>
</file>

<file path=xl/threadedComments/threadedComment2.xml><?xml version="1.0" encoding="utf-8"?>
<ThreadedComments xmlns="http://schemas.microsoft.com/office/spreadsheetml/2018/threadedcomments" xmlns:x="http://schemas.openxmlformats.org/spreadsheetml/2006/main">
  <threadedComment ref="C2" dT="2026-03-25T10:20:13.56" personId="{504327B8-40A3-584D-B545-946AAE54EDE6}" id="{6B237F5B-3998-DE45-B70D-7197B4746B1F}">
    <text>AS OF 25.03.2026 SCOPUS</text>
  </threadedComment>
</ThreadedComments>
</file>

<file path=xl/worksheets/_rels/sheet1.xml.rels><?xml version="1.0" encoding="UTF-8" standalone="yes"?>
<Relationships xmlns="http://schemas.openxmlformats.org/package/2006/relationships"><Relationship Id="rId8" Type="http://schemas.openxmlformats.org/officeDocument/2006/relationships/hyperlink" Target="https://onlinelibrary.wiley.com/doi/10.1111/jofi.70008" TargetMode="External"/><Relationship Id="rId13" Type="http://schemas.openxmlformats.org/officeDocument/2006/relationships/hyperlink" Target="mailto:jnc29@psu.edu" TargetMode="External"/><Relationship Id="rId18" Type="http://schemas.openxmlformats.org/officeDocument/2006/relationships/hyperlink" Target="https://doi.org/10.1093/rof/rfad002" TargetMode="External"/><Relationship Id="rId26" Type="http://schemas.openxmlformats.org/officeDocument/2006/relationships/hyperlink" Target="https://www.biodiversityrisk.org/download/" TargetMode="External"/><Relationship Id="rId3" Type="http://schemas.openxmlformats.org/officeDocument/2006/relationships/hyperlink" Target="https://onlinelibrary.wiley.com/doi/10.1111/jofi.13412" TargetMode="External"/><Relationship Id="rId21" Type="http://schemas.openxmlformats.org/officeDocument/2006/relationships/hyperlink" Target="https://doi.org/10.1016/j.jfineco.2013.10.002" TargetMode="External"/><Relationship Id="rId7" Type="http://schemas.openxmlformats.org/officeDocument/2006/relationships/hyperlink" Target="https://onlinelibrary.wiley.com/doi/10.1111/jofi.70004" TargetMode="External"/><Relationship Id="rId12" Type="http://schemas.openxmlformats.org/officeDocument/2006/relationships/hyperlink" Target="mailto:gjwang@shnu.edu.cn" TargetMode="External"/><Relationship Id="rId17" Type="http://schemas.openxmlformats.org/officeDocument/2006/relationships/hyperlink" Target="https://doi.org/10.1093/rfs/hhad085" TargetMode="External"/><Relationship Id="rId25" Type="http://schemas.openxmlformats.org/officeDocument/2006/relationships/hyperlink" Target="mailto:jfinancialeconomics@gmail.com" TargetMode="External"/><Relationship Id="rId2" Type="http://schemas.openxmlformats.org/officeDocument/2006/relationships/hyperlink" Target="https://onlinelibrary.wiley.com/doi/10.1111/jofi.13416" TargetMode="External"/><Relationship Id="rId16" Type="http://schemas.openxmlformats.org/officeDocument/2006/relationships/hyperlink" Target="https://doi.org/10.1093/rfs/hhad094" TargetMode="External"/><Relationship Id="rId20" Type="http://schemas.openxmlformats.org/officeDocument/2006/relationships/hyperlink" Target="https://doi.org/10.1093/rof/rfac064" TargetMode="External"/><Relationship Id="rId29" Type="http://schemas.openxmlformats.org/officeDocument/2006/relationships/comments" Target="../comments1.xml"/><Relationship Id="rId1" Type="http://schemas.openxmlformats.org/officeDocument/2006/relationships/hyperlink" Target="https://onlinelibrary.wiley.com/doi/10.1111/jofi.13402" TargetMode="External"/><Relationship Id="rId6" Type="http://schemas.openxmlformats.org/officeDocument/2006/relationships/hyperlink" Target="https://onlinelibrary.wiley.com/doi/10.1111/jofi.70029" TargetMode="External"/><Relationship Id="rId11" Type="http://schemas.openxmlformats.org/officeDocument/2006/relationships/hyperlink" Target="https://doi.org/10.1093/rof/rfaf007" TargetMode="External"/><Relationship Id="rId24" Type="http://schemas.openxmlformats.org/officeDocument/2006/relationships/hyperlink" Target="mailto:jfinancialeconomics@gmail.com" TargetMode="External"/><Relationship Id="rId5" Type="http://schemas.openxmlformats.org/officeDocument/2006/relationships/hyperlink" Target="https://onlinelibrary.wiley.com/doi/10.1111/jofi.13499" TargetMode="External"/><Relationship Id="rId15" Type="http://schemas.openxmlformats.org/officeDocument/2006/relationships/hyperlink" Target="https://data.mendeley.com/datasets/y5p3vdzzwr/1" TargetMode="External"/><Relationship Id="rId23" Type="http://schemas.openxmlformats.org/officeDocument/2006/relationships/hyperlink" Target="https://www.sec.gov/edgar/search/" TargetMode="External"/><Relationship Id="rId28" Type="http://schemas.openxmlformats.org/officeDocument/2006/relationships/vmlDrawing" Target="../drawings/vmlDrawing1.vml"/><Relationship Id="rId10" Type="http://schemas.openxmlformats.org/officeDocument/2006/relationships/hyperlink" Target="https://doi.org/10.1093/rof/rfad039" TargetMode="External"/><Relationship Id="rId19" Type="http://schemas.openxmlformats.org/officeDocument/2006/relationships/hyperlink" Target="https://doi.org/10.1093/rof/rfac013" TargetMode="External"/><Relationship Id="rId4" Type="http://schemas.openxmlformats.org/officeDocument/2006/relationships/hyperlink" Target="https://onlinelibrary.wiley.com/doi/10.1111/jofi.13498" TargetMode="External"/><Relationship Id="rId9" Type="http://schemas.openxmlformats.org/officeDocument/2006/relationships/hyperlink" Target="https://doi.org/10.1093/rof/rfac045" TargetMode="External"/><Relationship Id="rId14" Type="http://schemas.openxmlformats.org/officeDocument/2006/relationships/hyperlink" Target="https://drive.google.com/file/d/1pCHmcebmOwrVCFim78ALhB51c3h1qt2T/view?pli=1" TargetMode="External"/><Relationship Id="rId22" Type="http://schemas.openxmlformats.org/officeDocument/2006/relationships/hyperlink" Target="https://doi.org/10.1016/j.jfineco.2013.04.014" TargetMode="External"/><Relationship Id="rId27" Type="http://schemas.openxmlformats.org/officeDocument/2006/relationships/hyperlink" Target="https://academic.oup.com/rof/article/30/1/87/8304747" TargetMode="External"/><Relationship Id="rId30"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G112"/>
  <sheetViews>
    <sheetView tabSelected="1" topLeftCell="T1" zoomScale="86" workbookViewId="0">
      <pane ySplit="2" topLeftCell="A103" activePane="bottomLeft" state="frozen"/>
      <selection pane="bottomLeft" activeCell="W108" sqref="W108"/>
    </sheetView>
  </sheetViews>
  <sheetFormatPr baseColWidth="10" defaultColWidth="8.83203125" defaultRowHeight="15" x14ac:dyDescent="0.2"/>
  <cols>
    <col min="1" max="1" width="8" customWidth="1"/>
    <col min="2" max="2" width="18.6640625" customWidth="1"/>
    <col min="3" max="4" width="35" customWidth="1"/>
    <col min="5" max="5" width="22" customWidth="1"/>
    <col min="6" max="6" width="30.33203125" customWidth="1"/>
    <col min="7" max="16" width="14" customWidth="1"/>
    <col min="17" max="18" width="20" customWidth="1"/>
    <col min="19" max="19" width="18" customWidth="1"/>
    <col min="20" max="22" width="22" customWidth="1"/>
    <col min="23" max="25" width="12" customWidth="1"/>
    <col min="26" max="26" width="22" customWidth="1"/>
    <col min="27" max="27" width="20" customWidth="1"/>
    <col min="28" max="28" width="12" customWidth="1"/>
    <col min="29" max="29" width="34.5" customWidth="1"/>
    <col min="30" max="30" width="12" customWidth="1"/>
    <col min="31" max="31" width="33.83203125" customWidth="1"/>
    <col min="32" max="32" width="12" customWidth="1"/>
    <col min="33" max="33" width="18" customWidth="1"/>
  </cols>
  <sheetData>
    <row r="1" spans="1:33" ht="26" x14ac:dyDescent="0.2">
      <c r="A1" s="42" t="s">
        <v>0</v>
      </c>
      <c r="B1" s="43"/>
      <c r="C1" s="43"/>
      <c r="D1" s="43"/>
      <c r="E1" s="43"/>
      <c r="F1" s="44"/>
      <c r="G1" s="51" t="s">
        <v>26</v>
      </c>
      <c r="H1" s="39"/>
      <c r="I1" s="39"/>
      <c r="J1" s="39"/>
      <c r="K1" s="39"/>
      <c r="L1" s="39"/>
      <c r="M1" s="39"/>
      <c r="N1" s="39"/>
      <c r="O1" s="39"/>
      <c r="P1" s="40"/>
      <c r="Q1" s="53" t="s">
        <v>1</v>
      </c>
      <c r="R1" s="54"/>
      <c r="S1" s="40"/>
      <c r="T1" s="45" t="s">
        <v>2</v>
      </c>
      <c r="U1" s="46"/>
      <c r="V1" s="47"/>
      <c r="W1" s="52" t="s">
        <v>3</v>
      </c>
      <c r="X1" s="39"/>
      <c r="Y1" s="40"/>
      <c r="Z1" s="55" t="s">
        <v>28</v>
      </c>
      <c r="AA1" s="56"/>
      <c r="AB1" s="48" t="s">
        <v>4</v>
      </c>
      <c r="AC1" s="49"/>
      <c r="AD1" s="49"/>
      <c r="AE1" s="49"/>
      <c r="AF1" s="50"/>
      <c r="AG1" s="7" t="s">
        <v>29</v>
      </c>
    </row>
    <row r="2" spans="1:33" ht="52" x14ac:dyDescent="0.2">
      <c r="A2" s="1" t="s">
        <v>154</v>
      </c>
      <c r="B2" s="1" t="s">
        <v>153</v>
      </c>
      <c r="C2" s="1" t="s">
        <v>5</v>
      </c>
      <c r="D2" s="1" t="s">
        <v>152</v>
      </c>
      <c r="E2" s="1" t="s">
        <v>264</v>
      </c>
      <c r="F2" s="1" t="s">
        <v>135</v>
      </c>
      <c r="G2" s="8" t="s">
        <v>30</v>
      </c>
      <c r="H2" s="8" t="s">
        <v>31</v>
      </c>
      <c r="I2" s="8" t="s">
        <v>32</v>
      </c>
      <c r="J2" s="8" t="s">
        <v>1038</v>
      </c>
      <c r="K2" s="8" t="s">
        <v>33</v>
      </c>
      <c r="L2" s="8" t="s">
        <v>34</v>
      </c>
      <c r="M2" s="8" t="s">
        <v>35</v>
      </c>
      <c r="N2" s="8" t="s">
        <v>36</v>
      </c>
      <c r="O2" s="8" t="s">
        <v>37</v>
      </c>
      <c r="P2" s="8" t="s">
        <v>38</v>
      </c>
      <c r="Q2" s="2" t="s">
        <v>39</v>
      </c>
      <c r="R2" s="19" t="s">
        <v>40</v>
      </c>
      <c r="S2" s="23" t="s">
        <v>1047</v>
      </c>
      <c r="T2" s="3" t="s">
        <v>1039</v>
      </c>
      <c r="U2" s="22" t="s">
        <v>151</v>
      </c>
      <c r="V2" s="24" t="s">
        <v>1048</v>
      </c>
      <c r="W2" s="4" t="s">
        <v>6</v>
      </c>
      <c r="X2" s="4" t="s">
        <v>7</v>
      </c>
      <c r="Y2" s="4" t="s">
        <v>8</v>
      </c>
      <c r="Z2" s="5" t="s">
        <v>42</v>
      </c>
      <c r="AA2" s="9" t="s">
        <v>10</v>
      </c>
      <c r="AB2" s="6" t="s">
        <v>43</v>
      </c>
      <c r="AC2" s="6" t="s">
        <v>1049</v>
      </c>
      <c r="AD2" s="6" t="s">
        <v>12</v>
      </c>
      <c r="AE2" s="6" t="s">
        <v>1050</v>
      </c>
      <c r="AF2" s="6" t="s">
        <v>254</v>
      </c>
      <c r="AG2" s="20" t="s">
        <v>13</v>
      </c>
    </row>
    <row r="3" spans="1:33" ht="52" x14ac:dyDescent="0.2">
      <c r="A3" s="10" t="s">
        <v>15</v>
      </c>
      <c r="B3" s="10" t="s">
        <v>122</v>
      </c>
      <c r="C3" s="10" t="s">
        <v>256</v>
      </c>
      <c r="D3" s="10" t="s">
        <v>257</v>
      </c>
      <c r="E3" s="10" t="s">
        <v>258</v>
      </c>
      <c r="F3" s="10" t="s">
        <v>259</v>
      </c>
      <c r="G3" s="21"/>
      <c r="H3" s="21"/>
      <c r="I3" s="21"/>
      <c r="J3" s="21" t="s">
        <v>134</v>
      </c>
      <c r="K3" s="21"/>
      <c r="L3" s="21"/>
      <c r="M3" s="21"/>
      <c r="N3" s="21" t="s">
        <v>134</v>
      </c>
      <c r="O3" s="21" t="s">
        <v>134</v>
      </c>
      <c r="P3" s="21" t="s">
        <v>267</v>
      </c>
      <c r="Q3" s="10" t="s">
        <v>296</v>
      </c>
      <c r="R3" s="10"/>
      <c r="S3" s="10"/>
      <c r="T3" s="10" t="s">
        <v>260</v>
      </c>
      <c r="U3" s="10" t="s">
        <v>297</v>
      </c>
      <c r="V3" s="10" t="s">
        <v>261</v>
      </c>
      <c r="W3" s="10">
        <v>2017</v>
      </c>
      <c r="X3" s="10">
        <v>1999</v>
      </c>
      <c r="Y3" s="10">
        <v>2011</v>
      </c>
      <c r="Z3" s="10" t="s">
        <v>140</v>
      </c>
      <c r="AA3" s="10"/>
      <c r="AB3" s="10" t="s">
        <v>150</v>
      </c>
      <c r="AC3" s="10"/>
      <c r="AD3" s="10" t="s">
        <v>150</v>
      </c>
      <c r="AE3" s="10"/>
      <c r="AF3" s="10" t="s">
        <v>150</v>
      </c>
      <c r="AG3" s="10" t="s">
        <v>141</v>
      </c>
    </row>
    <row r="4" spans="1:33" ht="78" x14ac:dyDescent="0.2">
      <c r="A4" s="12" t="s">
        <v>17</v>
      </c>
      <c r="B4" s="30" t="s">
        <v>122</v>
      </c>
      <c r="C4" s="12" t="s">
        <v>262</v>
      </c>
      <c r="D4" s="12" t="s">
        <v>263</v>
      </c>
      <c r="E4" s="12" t="s">
        <v>265</v>
      </c>
      <c r="F4" s="12" t="s">
        <v>266</v>
      </c>
      <c r="G4" s="21"/>
      <c r="H4" s="21"/>
      <c r="I4" s="21"/>
      <c r="J4" s="21" t="s">
        <v>134</v>
      </c>
      <c r="K4" s="21"/>
      <c r="L4" s="21"/>
      <c r="M4" s="21"/>
      <c r="N4" s="21" t="s">
        <v>134</v>
      </c>
      <c r="O4" s="21" t="s">
        <v>134</v>
      </c>
      <c r="P4" s="21" t="s">
        <v>267</v>
      </c>
      <c r="Q4" s="12" t="s">
        <v>296</v>
      </c>
      <c r="R4" s="12" t="s">
        <v>275</v>
      </c>
      <c r="S4" s="12" t="s">
        <v>278</v>
      </c>
      <c r="T4" s="12" t="s">
        <v>260</v>
      </c>
      <c r="U4" s="12" t="s">
        <v>297</v>
      </c>
      <c r="V4" s="12" t="s">
        <v>268</v>
      </c>
      <c r="W4" s="12">
        <v>2017</v>
      </c>
      <c r="X4" s="12">
        <v>2008</v>
      </c>
      <c r="Y4" s="12">
        <v>2009</v>
      </c>
      <c r="Z4" s="12" t="s">
        <v>143</v>
      </c>
      <c r="AA4" s="12"/>
      <c r="AB4" s="12" t="s">
        <v>150</v>
      </c>
      <c r="AC4" s="12"/>
      <c r="AD4" s="12" t="s">
        <v>150</v>
      </c>
      <c r="AE4" s="12"/>
      <c r="AF4" s="12" t="s">
        <v>150</v>
      </c>
      <c r="AG4" s="12" t="s">
        <v>141</v>
      </c>
    </row>
    <row r="5" spans="1:33" ht="52" x14ac:dyDescent="0.2">
      <c r="A5" s="10" t="s">
        <v>18</v>
      </c>
      <c r="B5" s="10" t="s">
        <v>122</v>
      </c>
      <c r="C5" s="10" t="s">
        <v>269</v>
      </c>
      <c r="D5" s="10" t="s">
        <v>270</v>
      </c>
      <c r="E5" s="10" t="s">
        <v>271</v>
      </c>
      <c r="F5" s="10" t="s">
        <v>272</v>
      </c>
      <c r="G5" s="21"/>
      <c r="H5" s="21"/>
      <c r="I5" s="21" t="s">
        <v>134</v>
      </c>
      <c r="J5" s="21" t="s">
        <v>134</v>
      </c>
      <c r="K5" s="21"/>
      <c r="L5" s="21"/>
      <c r="M5" s="21"/>
      <c r="N5" s="21" t="s">
        <v>134</v>
      </c>
      <c r="O5" s="21"/>
      <c r="P5" s="21"/>
      <c r="Q5" s="10" t="s">
        <v>72</v>
      </c>
      <c r="R5" s="10" t="s">
        <v>275</v>
      </c>
      <c r="S5" s="10" t="s">
        <v>273</v>
      </c>
      <c r="T5" s="10" t="s">
        <v>274</v>
      </c>
      <c r="U5" s="10" t="s">
        <v>138</v>
      </c>
      <c r="V5" s="10" t="s">
        <v>275</v>
      </c>
      <c r="W5" s="10">
        <v>2017</v>
      </c>
      <c r="X5" s="10">
        <v>2006</v>
      </c>
      <c r="Y5" s="10">
        <v>2012</v>
      </c>
      <c r="Z5" s="10" t="s">
        <v>276</v>
      </c>
      <c r="AA5" s="10" t="s">
        <v>277</v>
      </c>
      <c r="AB5" s="10" t="s">
        <v>150</v>
      </c>
      <c r="AC5" s="10"/>
      <c r="AD5" s="10" t="s">
        <v>150</v>
      </c>
      <c r="AE5" s="10"/>
      <c r="AF5" s="10" t="s">
        <v>150</v>
      </c>
      <c r="AG5" s="10" t="s">
        <v>753</v>
      </c>
    </row>
    <row r="6" spans="1:33" ht="65" x14ac:dyDescent="0.2">
      <c r="A6" s="12" t="s">
        <v>19</v>
      </c>
      <c r="B6" s="30" t="s">
        <v>122</v>
      </c>
      <c r="C6" s="12" t="s">
        <v>279</v>
      </c>
      <c r="D6" s="12" t="s">
        <v>280</v>
      </c>
      <c r="E6" s="12" t="s">
        <v>285</v>
      </c>
      <c r="F6" s="12" t="s">
        <v>284</v>
      </c>
      <c r="G6" s="21"/>
      <c r="H6" s="21"/>
      <c r="I6" s="21"/>
      <c r="J6" s="21" t="s">
        <v>134</v>
      </c>
      <c r="K6" s="21"/>
      <c r="L6" s="21"/>
      <c r="M6" s="21"/>
      <c r="N6" s="21"/>
      <c r="O6" s="21"/>
      <c r="P6" s="21"/>
      <c r="Q6" s="12" t="s">
        <v>296</v>
      </c>
      <c r="R6" s="12" t="s">
        <v>275</v>
      </c>
      <c r="S6" s="12" t="s">
        <v>281</v>
      </c>
      <c r="T6" s="12" t="s">
        <v>260</v>
      </c>
      <c r="U6" s="12" t="s">
        <v>297</v>
      </c>
      <c r="V6" s="12" t="s">
        <v>282</v>
      </c>
      <c r="W6" s="12">
        <v>2019</v>
      </c>
      <c r="X6" s="12">
        <v>2016</v>
      </c>
      <c r="Y6" s="12">
        <v>2017</v>
      </c>
      <c r="Z6" s="12" t="s">
        <v>143</v>
      </c>
      <c r="AA6" s="12"/>
      <c r="AB6" s="12" t="s">
        <v>150</v>
      </c>
      <c r="AC6" s="12"/>
      <c r="AD6" s="12" t="s">
        <v>150</v>
      </c>
      <c r="AE6" s="12"/>
      <c r="AF6" s="12" t="s">
        <v>150</v>
      </c>
      <c r="AG6" s="12" t="s">
        <v>387</v>
      </c>
    </row>
    <row r="7" spans="1:33" ht="52" x14ac:dyDescent="0.2">
      <c r="A7" s="10" t="s">
        <v>20</v>
      </c>
      <c r="B7" s="10" t="s">
        <v>122</v>
      </c>
      <c r="C7" s="10" t="s">
        <v>283</v>
      </c>
      <c r="D7" s="10" t="s">
        <v>16</v>
      </c>
      <c r="E7" s="10" t="s">
        <v>289</v>
      </c>
      <c r="F7" s="10" t="s">
        <v>286</v>
      </c>
      <c r="G7" s="21" t="s">
        <v>134</v>
      </c>
      <c r="H7" s="21" t="s">
        <v>134</v>
      </c>
      <c r="I7" s="21"/>
      <c r="J7" s="21"/>
      <c r="K7" s="21"/>
      <c r="L7" s="21"/>
      <c r="M7" s="21" t="s">
        <v>134</v>
      </c>
      <c r="N7" s="21"/>
      <c r="O7" s="21"/>
      <c r="P7" s="21"/>
      <c r="Q7" s="10" t="s">
        <v>66</v>
      </c>
      <c r="R7" s="10" t="s">
        <v>296</v>
      </c>
      <c r="S7" s="10"/>
      <c r="T7" s="10" t="s">
        <v>287</v>
      </c>
      <c r="U7" s="10" t="s">
        <v>260</v>
      </c>
      <c r="V7" s="10"/>
      <c r="W7" s="10">
        <v>2023</v>
      </c>
      <c r="X7" s="10">
        <v>2002</v>
      </c>
      <c r="Y7" s="10">
        <v>2020</v>
      </c>
      <c r="Z7" s="10" t="s">
        <v>140</v>
      </c>
      <c r="AA7" s="10"/>
      <c r="AB7" s="10" t="s">
        <v>134</v>
      </c>
      <c r="AC7" s="10" t="s">
        <v>288</v>
      </c>
      <c r="AD7" s="10" t="s">
        <v>134</v>
      </c>
      <c r="AE7" s="10" t="s">
        <v>1024</v>
      </c>
      <c r="AF7" s="10"/>
      <c r="AG7" s="10" t="s">
        <v>753</v>
      </c>
    </row>
    <row r="8" spans="1:33" ht="52" x14ac:dyDescent="0.2">
      <c r="A8" s="12" t="s">
        <v>21</v>
      </c>
      <c r="B8" s="30" t="s">
        <v>122</v>
      </c>
      <c r="C8" s="12" t="s">
        <v>290</v>
      </c>
      <c r="D8" s="12" t="s">
        <v>291</v>
      </c>
      <c r="E8" s="12" t="s">
        <v>294</v>
      </c>
      <c r="F8" s="12" t="s">
        <v>295</v>
      </c>
      <c r="G8" s="21"/>
      <c r="H8" s="21" t="s">
        <v>134</v>
      </c>
      <c r="I8" s="21"/>
      <c r="J8" s="21"/>
      <c r="K8" s="21"/>
      <c r="L8" s="21" t="s">
        <v>134</v>
      </c>
      <c r="M8" s="21"/>
      <c r="N8" s="21"/>
      <c r="O8" s="21"/>
      <c r="P8" s="21"/>
      <c r="Q8" s="12" t="s">
        <v>296</v>
      </c>
      <c r="R8" s="12" t="s">
        <v>138</v>
      </c>
      <c r="S8" s="12" t="s">
        <v>292</v>
      </c>
      <c r="T8" s="12" t="s">
        <v>260</v>
      </c>
      <c r="U8" s="12" t="s">
        <v>297</v>
      </c>
      <c r="V8" s="12" t="s">
        <v>268</v>
      </c>
      <c r="W8" s="12">
        <v>2023</v>
      </c>
      <c r="X8" s="12">
        <v>2005</v>
      </c>
      <c r="Y8" s="12">
        <v>2018</v>
      </c>
      <c r="Z8" s="12" t="s">
        <v>140</v>
      </c>
      <c r="AA8" s="12" t="s">
        <v>293</v>
      </c>
      <c r="AB8" s="12" t="s">
        <v>150</v>
      </c>
      <c r="AC8" s="12"/>
      <c r="AD8" s="12" t="s">
        <v>134</v>
      </c>
      <c r="AE8" s="12" t="s">
        <v>1025</v>
      </c>
      <c r="AF8" s="12" t="s">
        <v>142</v>
      </c>
      <c r="AG8" s="12" t="s">
        <v>141</v>
      </c>
    </row>
    <row r="9" spans="1:33" ht="117" x14ac:dyDescent="0.2">
      <c r="A9" s="10" t="s">
        <v>22</v>
      </c>
      <c r="B9" s="10" t="s">
        <v>122</v>
      </c>
      <c r="C9" s="10" t="s">
        <v>298</v>
      </c>
      <c r="D9" s="10" t="s">
        <v>365</v>
      </c>
      <c r="E9" s="10" t="s">
        <v>366</v>
      </c>
      <c r="F9" s="10" t="s">
        <v>369</v>
      </c>
      <c r="G9" s="21"/>
      <c r="H9" s="21" t="s">
        <v>134</v>
      </c>
      <c r="I9" s="21"/>
      <c r="J9" s="21"/>
      <c r="K9" s="21"/>
      <c r="L9" s="21"/>
      <c r="M9" s="21" t="s">
        <v>134</v>
      </c>
      <c r="N9" s="21"/>
      <c r="O9" s="21"/>
      <c r="P9" s="21"/>
      <c r="Q9" s="10" t="s">
        <v>296</v>
      </c>
      <c r="R9" s="10"/>
      <c r="S9" s="10"/>
      <c r="T9" s="10" t="s">
        <v>297</v>
      </c>
      <c r="U9" s="10" t="s">
        <v>260</v>
      </c>
      <c r="V9" s="10" t="s">
        <v>367</v>
      </c>
      <c r="W9" s="10">
        <v>2025</v>
      </c>
      <c r="X9" s="10">
        <v>2009</v>
      </c>
      <c r="Y9" s="10">
        <v>2021</v>
      </c>
      <c r="Z9" s="10" t="s">
        <v>140</v>
      </c>
      <c r="AA9" s="10" t="s">
        <v>368</v>
      </c>
      <c r="AB9" s="10" t="s">
        <v>150</v>
      </c>
      <c r="AC9" s="10"/>
      <c r="AD9" s="10" t="s">
        <v>134</v>
      </c>
      <c r="AE9" s="10" t="s">
        <v>1026</v>
      </c>
      <c r="AF9" s="10" t="s">
        <v>142</v>
      </c>
      <c r="AG9" s="10" t="s">
        <v>141</v>
      </c>
    </row>
    <row r="10" spans="1:33" ht="143" x14ac:dyDescent="0.2">
      <c r="A10" s="12" t="s">
        <v>23</v>
      </c>
      <c r="B10" s="30" t="s">
        <v>122</v>
      </c>
      <c r="C10" s="12" t="s">
        <v>299</v>
      </c>
      <c r="D10" s="12" t="s">
        <v>370</v>
      </c>
      <c r="E10" s="12" t="s">
        <v>371</v>
      </c>
      <c r="F10" s="12" t="s">
        <v>375</v>
      </c>
      <c r="G10" s="21" t="s">
        <v>134</v>
      </c>
      <c r="H10" s="21"/>
      <c r="I10" s="21"/>
      <c r="J10" s="21"/>
      <c r="K10" s="21"/>
      <c r="L10" s="21"/>
      <c r="M10" s="21"/>
      <c r="N10" s="21"/>
      <c r="O10" s="21"/>
      <c r="P10" s="21"/>
      <c r="Q10" s="12" t="s">
        <v>296</v>
      </c>
      <c r="R10" s="12" t="s">
        <v>66</v>
      </c>
      <c r="S10" s="12"/>
      <c r="T10" s="12" t="s">
        <v>372</v>
      </c>
      <c r="U10" s="12" t="s">
        <v>260</v>
      </c>
      <c r="V10" s="12" t="s">
        <v>373</v>
      </c>
      <c r="W10" s="12">
        <v>2025</v>
      </c>
      <c r="X10" s="12">
        <v>1996</v>
      </c>
      <c r="Y10" s="12">
        <v>2019</v>
      </c>
      <c r="Z10" s="12" t="s">
        <v>143</v>
      </c>
      <c r="AA10" s="12" t="s">
        <v>374</v>
      </c>
      <c r="AB10" s="12" t="s">
        <v>142</v>
      </c>
      <c r="AC10" s="12" t="s">
        <v>376</v>
      </c>
      <c r="AD10" s="12" t="s">
        <v>134</v>
      </c>
      <c r="AE10" s="12" t="s">
        <v>1027</v>
      </c>
      <c r="AF10" s="12" t="s">
        <v>142</v>
      </c>
      <c r="AG10" s="12" t="s">
        <v>141</v>
      </c>
    </row>
    <row r="11" spans="1:33" ht="117" x14ac:dyDescent="0.2">
      <c r="A11" s="10" t="s">
        <v>24</v>
      </c>
      <c r="B11" s="10" t="s">
        <v>122</v>
      </c>
      <c r="C11" s="10" t="s">
        <v>300</v>
      </c>
      <c r="D11" s="10" t="s">
        <v>377</v>
      </c>
      <c r="E11" s="10" t="s">
        <v>378</v>
      </c>
      <c r="F11" s="10" t="s">
        <v>383</v>
      </c>
      <c r="G11" s="21"/>
      <c r="H11" s="21"/>
      <c r="I11" s="21" t="s">
        <v>134</v>
      </c>
      <c r="J11" s="21" t="s">
        <v>134</v>
      </c>
      <c r="K11" s="21"/>
      <c r="L11" s="21"/>
      <c r="M11" s="21" t="s">
        <v>134</v>
      </c>
      <c r="N11" s="21"/>
      <c r="O11" s="21"/>
      <c r="P11" s="21"/>
      <c r="Q11" s="10" t="s">
        <v>296</v>
      </c>
      <c r="R11" s="10" t="s">
        <v>66</v>
      </c>
      <c r="S11" s="10" t="s">
        <v>379</v>
      </c>
      <c r="T11" s="10" t="s">
        <v>92</v>
      </c>
      <c r="U11" s="10" t="s">
        <v>297</v>
      </c>
      <c r="V11" s="10" t="s">
        <v>380</v>
      </c>
      <c r="W11" s="10">
        <v>2025</v>
      </c>
      <c r="X11" s="10">
        <v>2000</v>
      </c>
      <c r="Y11" s="10">
        <v>2020</v>
      </c>
      <c r="Z11" s="10" t="s">
        <v>143</v>
      </c>
      <c r="AA11" s="10" t="s">
        <v>381</v>
      </c>
      <c r="AB11" s="10" t="s">
        <v>1019</v>
      </c>
      <c r="AC11" s="10" t="s">
        <v>382</v>
      </c>
      <c r="AD11" s="10" t="s">
        <v>134</v>
      </c>
      <c r="AE11" s="10" t="s">
        <v>1028</v>
      </c>
      <c r="AF11" s="10" t="s">
        <v>142</v>
      </c>
      <c r="AG11" s="10" t="s">
        <v>141</v>
      </c>
    </row>
    <row r="12" spans="1:33" ht="104" x14ac:dyDescent="0.2">
      <c r="A12" s="12" t="s">
        <v>25</v>
      </c>
      <c r="B12" s="30" t="s">
        <v>122</v>
      </c>
      <c r="C12" s="12" t="s">
        <v>302</v>
      </c>
      <c r="D12" s="12" t="s">
        <v>384</v>
      </c>
      <c r="E12" s="12" t="s">
        <v>390</v>
      </c>
      <c r="F12" s="12" t="s">
        <v>301</v>
      </c>
      <c r="G12" s="21"/>
      <c r="H12" s="21"/>
      <c r="I12" s="21" t="s">
        <v>134</v>
      </c>
      <c r="J12" s="21"/>
      <c r="K12" s="21"/>
      <c r="L12" s="21"/>
      <c r="M12" s="21"/>
      <c r="N12" s="21" t="s">
        <v>134</v>
      </c>
      <c r="O12" s="21" t="s">
        <v>134</v>
      </c>
      <c r="P12" s="21"/>
      <c r="Q12" s="12" t="s">
        <v>296</v>
      </c>
      <c r="R12" s="12"/>
      <c r="S12" s="12"/>
      <c r="T12" s="12" t="s">
        <v>297</v>
      </c>
      <c r="U12" s="12" t="s">
        <v>260</v>
      </c>
      <c r="V12" s="12" t="s">
        <v>391</v>
      </c>
      <c r="W12" s="12">
        <v>2025</v>
      </c>
      <c r="X12" s="12">
        <v>2007</v>
      </c>
      <c r="Y12" s="12">
        <v>2018</v>
      </c>
      <c r="Z12" s="12" t="s">
        <v>140</v>
      </c>
      <c r="AA12" s="12" t="s">
        <v>392</v>
      </c>
      <c r="AB12" s="12" t="s">
        <v>150</v>
      </c>
      <c r="AC12" s="12"/>
      <c r="AD12" s="12" t="s">
        <v>134</v>
      </c>
      <c r="AE12" s="12" t="s">
        <v>1029</v>
      </c>
      <c r="AF12" s="12" t="s">
        <v>150</v>
      </c>
      <c r="AG12" s="12" t="s">
        <v>138</v>
      </c>
    </row>
    <row r="13" spans="1:33" ht="156" x14ac:dyDescent="0.2">
      <c r="A13" s="10" t="s">
        <v>155</v>
      </c>
      <c r="B13" s="10" t="s">
        <v>255</v>
      </c>
      <c r="C13" s="10" t="s">
        <v>304</v>
      </c>
      <c r="D13" s="10" t="s">
        <v>388</v>
      </c>
      <c r="E13" s="10" t="s">
        <v>389</v>
      </c>
      <c r="F13" s="10" t="s">
        <v>303</v>
      </c>
      <c r="G13" s="21"/>
      <c r="H13" s="21"/>
      <c r="I13" s="21" t="s">
        <v>134</v>
      </c>
      <c r="J13" s="21" t="s">
        <v>134</v>
      </c>
      <c r="K13" s="21"/>
      <c r="L13" s="21"/>
      <c r="M13" s="21"/>
      <c r="N13" s="21"/>
      <c r="O13" s="21"/>
      <c r="P13" s="21"/>
      <c r="Q13" s="10" t="s">
        <v>296</v>
      </c>
      <c r="R13" s="10"/>
      <c r="S13" s="10"/>
      <c r="T13" s="10" t="s">
        <v>260</v>
      </c>
      <c r="U13" s="10" t="s">
        <v>297</v>
      </c>
      <c r="V13" s="10" t="s">
        <v>385</v>
      </c>
      <c r="W13" s="10">
        <v>2025</v>
      </c>
      <c r="X13" s="10">
        <v>2016</v>
      </c>
      <c r="Y13" s="10">
        <v>2022</v>
      </c>
      <c r="Z13" s="10" t="s">
        <v>143</v>
      </c>
      <c r="AA13" s="10" t="s">
        <v>386</v>
      </c>
      <c r="AB13" s="10" t="s">
        <v>150</v>
      </c>
      <c r="AC13" s="10"/>
      <c r="AD13" s="10" t="s">
        <v>134</v>
      </c>
      <c r="AE13" s="10" t="s">
        <v>1030</v>
      </c>
      <c r="AF13" s="10" t="s">
        <v>150</v>
      </c>
      <c r="AG13" s="10" t="s">
        <v>387</v>
      </c>
    </row>
    <row r="14" spans="1:33" ht="156" x14ac:dyDescent="0.2">
      <c r="A14" s="12" t="s">
        <v>156</v>
      </c>
      <c r="B14" s="30" t="s">
        <v>255</v>
      </c>
      <c r="C14" s="12" t="s">
        <v>1045</v>
      </c>
      <c r="D14" s="12" t="s">
        <v>393</v>
      </c>
      <c r="E14" s="12" t="s">
        <v>394</v>
      </c>
      <c r="F14" s="12" t="s">
        <v>305</v>
      </c>
      <c r="G14" s="21" t="s">
        <v>134</v>
      </c>
      <c r="H14" s="21" t="s">
        <v>134</v>
      </c>
      <c r="I14" s="21"/>
      <c r="J14" s="21"/>
      <c r="K14" s="21"/>
      <c r="L14" s="21"/>
      <c r="M14" s="21"/>
      <c r="N14" s="21"/>
      <c r="O14" s="21"/>
      <c r="P14" s="21"/>
      <c r="Q14" s="12" t="s">
        <v>296</v>
      </c>
      <c r="R14" s="12"/>
      <c r="S14" s="12"/>
      <c r="T14" s="12" t="s">
        <v>297</v>
      </c>
      <c r="U14" s="12" t="s">
        <v>260</v>
      </c>
      <c r="V14" s="12" t="s">
        <v>395</v>
      </c>
      <c r="W14" s="12">
        <v>2026</v>
      </c>
      <c r="X14" s="12">
        <v>2000</v>
      </c>
      <c r="Y14" s="12">
        <v>2020</v>
      </c>
      <c r="Z14" s="12" t="s">
        <v>143</v>
      </c>
      <c r="AA14" s="12" t="s">
        <v>396</v>
      </c>
      <c r="AB14" s="12" t="s">
        <v>150</v>
      </c>
      <c r="AC14" s="12"/>
      <c r="AD14" s="12" t="s">
        <v>134</v>
      </c>
      <c r="AE14" s="12" t="s">
        <v>1031</v>
      </c>
      <c r="AF14" s="12" t="s">
        <v>150</v>
      </c>
      <c r="AG14" s="12" t="s">
        <v>138</v>
      </c>
    </row>
    <row r="15" spans="1:33" ht="104" x14ac:dyDescent="0.2">
      <c r="A15" s="10" t="s">
        <v>157</v>
      </c>
      <c r="B15" s="10" t="s">
        <v>255</v>
      </c>
      <c r="C15" s="10" t="s">
        <v>307</v>
      </c>
      <c r="D15" s="10" t="s">
        <v>397</v>
      </c>
      <c r="E15" s="10" t="s">
        <v>398</v>
      </c>
      <c r="F15" s="10" t="s">
        <v>306</v>
      </c>
      <c r="G15" s="21"/>
      <c r="H15" s="21"/>
      <c r="I15" s="21"/>
      <c r="J15" s="21"/>
      <c r="K15" s="21"/>
      <c r="L15" s="21"/>
      <c r="M15" s="21"/>
      <c r="N15" s="21" t="s">
        <v>134</v>
      </c>
      <c r="O15" s="21"/>
      <c r="P15" s="21"/>
      <c r="Q15" s="10" t="s">
        <v>72</v>
      </c>
      <c r="R15" s="10" t="s">
        <v>296</v>
      </c>
      <c r="S15" s="10"/>
      <c r="T15" s="10" t="s">
        <v>274</v>
      </c>
      <c r="U15" s="10" t="s">
        <v>260</v>
      </c>
      <c r="V15" s="10" t="s">
        <v>399</v>
      </c>
      <c r="W15" s="10">
        <v>2026</v>
      </c>
      <c r="X15" s="10">
        <v>2021</v>
      </c>
      <c r="Y15" s="10">
        <v>2021</v>
      </c>
      <c r="Z15" s="10" t="s">
        <v>143</v>
      </c>
      <c r="AA15" s="10" t="s">
        <v>400</v>
      </c>
      <c r="AB15" s="10" t="s">
        <v>142</v>
      </c>
      <c r="AC15" s="10" t="s">
        <v>1023</v>
      </c>
      <c r="AD15" s="10" t="s">
        <v>142</v>
      </c>
      <c r="AE15" s="10" t="s">
        <v>1023</v>
      </c>
      <c r="AF15" s="10" t="s">
        <v>142</v>
      </c>
      <c r="AG15" s="10" t="s">
        <v>138</v>
      </c>
    </row>
    <row r="16" spans="1:33" ht="117" x14ac:dyDescent="0.2">
      <c r="A16" s="12" t="s">
        <v>158</v>
      </c>
      <c r="B16" s="30" t="s">
        <v>255</v>
      </c>
      <c r="C16" s="12" t="s">
        <v>309</v>
      </c>
      <c r="D16" s="12" t="s">
        <v>401</v>
      </c>
      <c r="E16" s="12" t="s">
        <v>402</v>
      </c>
      <c r="F16" s="12" t="s">
        <v>308</v>
      </c>
      <c r="G16" s="21"/>
      <c r="H16" s="21"/>
      <c r="I16" s="21" t="s">
        <v>134</v>
      </c>
      <c r="J16" s="21" t="s">
        <v>134</v>
      </c>
      <c r="K16" s="21"/>
      <c r="L16" s="21"/>
      <c r="M16" s="21"/>
      <c r="N16" s="21" t="s">
        <v>134</v>
      </c>
      <c r="O16" s="21" t="s">
        <v>134</v>
      </c>
      <c r="P16" s="21"/>
      <c r="Q16" s="12" t="s">
        <v>296</v>
      </c>
      <c r="R16" s="12" t="s">
        <v>70</v>
      </c>
      <c r="S16" s="12"/>
      <c r="T16" s="12" t="s">
        <v>405</v>
      </c>
      <c r="U16" s="12" t="s">
        <v>297</v>
      </c>
      <c r="V16" s="12" t="s">
        <v>403</v>
      </c>
      <c r="W16" s="12">
        <v>2026</v>
      </c>
      <c r="X16" s="12">
        <v>2000</v>
      </c>
      <c r="Y16" s="12">
        <v>2018</v>
      </c>
      <c r="Z16" s="12" t="s">
        <v>143</v>
      </c>
      <c r="AA16" s="12" t="s">
        <v>404</v>
      </c>
      <c r="AB16" s="12" t="s">
        <v>150</v>
      </c>
      <c r="AC16" s="12"/>
      <c r="AD16" s="12" t="s">
        <v>134</v>
      </c>
      <c r="AE16" s="12" t="s">
        <v>1032</v>
      </c>
      <c r="AF16" s="12" t="s">
        <v>142</v>
      </c>
      <c r="AG16" s="12" t="s">
        <v>141</v>
      </c>
    </row>
    <row r="17" spans="1:33" ht="117" x14ac:dyDescent="0.2">
      <c r="A17" s="10" t="s">
        <v>159</v>
      </c>
      <c r="B17" s="10" t="s">
        <v>123</v>
      </c>
      <c r="C17" s="10" t="s">
        <v>505</v>
      </c>
      <c r="D17" s="10" t="s">
        <v>798</v>
      </c>
      <c r="E17" s="10" t="s">
        <v>799</v>
      </c>
      <c r="F17" s="10" t="s">
        <v>504</v>
      </c>
      <c r="G17" s="21"/>
      <c r="H17" s="21"/>
      <c r="I17" s="21"/>
      <c r="J17" s="21"/>
      <c r="K17" s="21"/>
      <c r="L17" s="21"/>
      <c r="M17" s="21"/>
      <c r="N17" s="21" t="s">
        <v>134</v>
      </c>
      <c r="O17" s="21"/>
      <c r="P17" s="21"/>
      <c r="Q17" s="10" t="s">
        <v>296</v>
      </c>
      <c r="R17" s="10" t="s">
        <v>72</v>
      </c>
      <c r="S17" s="10"/>
      <c r="T17" s="10" t="s">
        <v>274</v>
      </c>
      <c r="U17" s="10" t="s">
        <v>260</v>
      </c>
      <c r="V17" s="10" t="s">
        <v>800</v>
      </c>
      <c r="W17" s="10">
        <v>2011</v>
      </c>
      <c r="X17" s="10">
        <v>1984</v>
      </c>
      <c r="Y17" s="10">
        <v>2009</v>
      </c>
      <c r="Z17" s="10" t="s">
        <v>143</v>
      </c>
      <c r="AA17" s="10" t="s">
        <v>801</v>
      </c>
      <c r="AB17" s="10" t="s">
        <v>150</v>
      </c>
      <c r="AC17" s="10"/>
      <c r="AD17" s="10" t="s">
        <v>150</v>
      </c>
      <c r="AE17" s="10"/>
      <c r="AF17" s="10" t="s">
        <v>142</v>
      </c>
      <c r="AG17" s="10" t="s">
        <v>141</v>
      </c>
    </row>
    <row r="18" spans="1:33" ht="143" x14ac:dyDescent="0.2">
      <c r="A18" s="12" t="s">
        <v>160</v>
      </c>
      <c r="B18" s="30" t="s">
        <v>123</v>
      </c>
      <c r="C18" s="12" t="s">
        <v>507</v>
      </c>
      <c r="D18" s="12" t="s">
        <v>802</v>
      </c>
      <c r="E18" s="12" t="s">
        <v>803</v>
      </c>
      <c r="F18" s="12" t="s">
        <v>506</v>
      </c>
      <c r="G18" s="21" t="s">
        <v>134</v>
      </c>
      <c r="H18" s="21"/>
      <c r="I18" s="21"/>
      <c r="J18" s="21"/>
      <c r="K18" s="21"/>
      <c r="L18" s="21"/>
      <c r="M18" s="21"/>
      <c r="N18" s="21" t="s">
        <v>134</v>
      </c>
      <c r="O18" s="21"/>
      <c r="P18" s="21"/>
      <c r="Q18" s="12" t="s">
        <v>296</v>
      </c>
      <c r="R18" s="12"/>
      <c r="S18" s="12"/>
      <c r="T18" s="12" t="s">
        <v>138</v>
      </c>
      <c r="U18" s="12" t="s">
        <v>372</v>
      </c>
      <c r="V18" s="12" t="s">
        <v>804</v>
      </c>
      <c r="W18" s="12">
        <v>2011</v>
      </c>
      <c r="X18" s="12">
        <v>1996</v>
      </c>
      <c r="Y18" s="12">
        <v>2002</v>
      </c>
      <c r="Z18" s="12" t="s">
        <v>143</v>
      </c>
      <c r="AA18" s="12" t="s">
        <v>805</v>
      </c>
      <c r="AB18" s="12" t="s">
        <v>1019</v>
      </c>
      <c r="AC18" s="12" t="s">
        <v>806</v>
      </c>
      <c r="AD18" s="12" t="s">
        <v>150</v>
      </c>
      <c r="AE18" s="12"/>
      <c r="AF18" s="12" t="s">
        <v>142</v>
      </c>
      <c r="AG18" s="12" t="s">
        <v>138</v>
      </c>
    </row>
    <row r="19" spans="1:33" ht="143" x14ac:dyDescent="0.2">
      <c r="A19" s="10" t="s">
        <v>161</v>
      </c>
      <c r="B19" s="10" t="s">
        <v>123</v>
      </c>
      <c r="C19" s="10" t="s">
        <v>509</v>
      </c>
      <c r="D19" s="10" t="s">
        <v>807</v>
      </c>
      <c r="E19" s="10" t="s">
        <v>808</v>
      </c>
      <c r="F19" s="10" t="s">
        <v>508</v>
      </c>
      <c r="G19" s="21"/>
      <c r="H19" s="21"/>
      <c r="I19" s="21"/>
      <c r="J19" s="21"/>
      <c r="K19" s="21"/>
      <c r="L19" s="21"/>
      <c r="M19" s="21"/>
      <c r="N19" s="21" t="s">
        <v>134</v>
      </c>
      <c r="O19" s="21" t="s">
        <v>134</v>
      </c>
      <c r="P19" s="21"/>
      <c r="Q19" s="10" t="s">
        <v>296</v>
      </c>
      <c r="R19" s="10" t="s">
        <v>70</v>
      </c>
      <c r="S19" s="10"/>
      <c r="T19" s="10" t="s">
        <v>92</v>
      </c>
      <c r="U19" s="10" t="s">
        <v>297</v>
      </c>
      <c r="V19" s="10" t="s">
        <v>809</v>
      </c>
      <c r="W19" s="10">
        <v>2012</v>
      </c>
      <c r="X19" s="10">
        <v>1992</v>
      </c>
      <c r="Y19" s="10">
        <v>2006</v>
      </c>
      <c r="Z19" s="10" t="s">
        <v>143</v>
      </c>
      <c r="AA19" s="10" t="s">
        <v>810</v>
      </c>
      <c r="AB19" s="10" t="s">
        <v>1019</v>
      </c>
      <c r="AC19" s="10" t="s">
        <v>811</v>
      </c>
      <c r="AD19" s="10" t="s">
        <v>150</v>
      </c>
      <c r="AE19" s="10"/>
      <c r="AF19" s="10" t="s">
        <v>142</v>
      </c>
      <c r="AG19" s="10" t="s">
        <v>387</v>
      </c>
    </row>
    <row r="20" spans="1:33" ht="117" x14ac:dyDescent="0.2">
      <c r="A20" s="12" t="s">
        <v>162</v>
      </c>
      <c r="B20" s="30" t="s">
        <v>123</v>
      </c>
      <c r="C20" s="12" t="s">
        <v>510</v>
      </c>
      <c r="D20" s="12" t="s">
        <v>812</v>
      </c>
      <c r="E20" s="12" t="s">
        <v>813</v>
      </c>
      <c r="F20" s="12" t="s">
        <v>513</v>
      </c>
      <c r="G20" s="21"/>
      <c r="H20" s="21"/>
      <c r="I20" s="21"/>
      <c r="J20" s="21"/>
      <c r="K20" s="21"/>
      <c r="L20" s="21"/>
      <c r="M20" s="21"/>
      <c r="N20" s="21" t="s">
        <v>134</v>
      </c>
      <c r="O20" s="21" t="s">
        <v>134</v>
      </c>
      <c r="P20" s="21"/>
      <c r="Q20" s="12" t="s">
        <v>296</v>
      </c>
      <c r="R20" s="12"/>
      <c r="S20" s="12"/>
      <c r="T20" s="12" t="s">
        <v>297</v>
      </c>
      <c r="U20" s="12" t="s">
        <v>260</v>
      </c>
      <c r="V20" s="12" t="s">
        <v>814</v>
      </c>
      <c r="W20" s="12">
        <v>2013</v>
      </c>
      <c r="X20" s="12">
        <v>1992</v>
      </c>
      <c r="Y20" s="12">
        <v>2007</v>
      </c>
      <c r="Z20" s="12" t="s">
        <v>143</v>
      </c>
      <c r="AA20" s="12" t="s">
        <v>815</v>
      </c>
      <c r="AB20" s="12" t="s">
        <v>150</v>
      </c>
      <c r="AC20" s="12" t="s">
        <v>1033</v>
      </c>
      <c r="AD20" s="12" t="s">
        <v>415</v>
      </c>
      <c r="AE20" s="12" t="s">
        <v>1033</v>
      </c>
      <c r="AF20" s="12" t="s">
        <v>150</v>
      </c>
      <c r="AG20" s="12" t="s">
        <v>138</v>
      </c>
    </row>
    <row r="21" spans="1:33" ht="130" x14ac:dyDescent="0.2">
      <c r="A21" s="10" t="s">
        <v>163</v>
      </c>
      <c r="B21" s="10" t="s">
        <v>123</v>
      </c>
      <c r="C21" s="10" t="s">
        <v>511</v>
      </c>
      <c r="D21" s="10" t="s">
        <v>816</v>
      </c>
      <c r="E21" s="10" t="s">
        <v>817</v>
      </c>
      <c r="F21" s="10" t="s">
        <v>512</v>
      </c>
      <c r="G21" s="21"/>
      <c r="H21" s="21"/>
      <c r="I21" s="21"/>
      <c r="J21" s="21"/>
      <c r="K21" s="21"/>
      <c r="L21" s="21"/>
      <c r="M21" s="21"/>
      <c r="N21" s="21" t="s">
        <v>134</v>
      </c>
      <c r="O21" s="21" t="s">
        <v>134</v>
      </c>
      <c r="P21" s="21"/>
      <c r="Q21" s="10" t="s">
        <v>296</v>
      </c>
      <c r="R21" s="10"/>
      <c r="S21" s="10"/>
      <c r="T21" s="10" t="s">
        <v>297</v>
      </c>
      <c r="U21" s="10" t="s">
        <v>92</v>
      </c>
      <c r="V21" s="10" t="s">
        <v>818</v>
      </c>
      <c r="W21" s="10">
        <v>2014</v>
      </c>
      <c r="X21" s="10">
        <v>2003</v>
      </c>
      <c r="Y21" s="10">
        <v>2009</v>
      </c>
      <c r="Z21" s="10" t="s">
        <v>143</v>
      </c>
      <c r="AA21" s="10" t="s">
        <v>819</v>
      </c>
      <c r="AB21" s="10" t="s">
        <v>1019</v>
      </c>
      <c r="AC21" s="10" t="s">
        <v>811</v>
      </c>
      <c r="AD21" s="10" t="s">
        <v>150</v>
      </c>
      <c r="AE21" s="10"/>
      <c r="AF21" s="10" t="s">
        <v>142</v>
      </c>
      <c r="AG21" s="10" t="s">
        <v>141</v>
      </c>
    </row>
    <row r="22" spans="1:33" ht="130" x14ac:dyDescent="0.2">
      <c r="A22" s="12" t="s">
        <v>164</v>
      </c>
      <c r="B22" s="30" t="s">
        <v>123</v>
      </c>
      <c r="C22" s="12" t="s">
        <v>514</v>
      </c>
      <c r="D22" s="12" t="s">
        <v>820</v>
      </c>
      <c r="E22" s="12" t="s">
        <v>821</v>
      </c>
      <c r="F22" s="12" t="s">
        <v>515</v>
      </c>
      <c r="G22" s="21"/>
      <c r="H22" s="21"/>
      <c r="I22" s="21"/>
      <c r="J22" s="21"/>
      <c r="K22" s="21"/>
      <c r="L22" s="21"/>
      <c r="M22" s="21"/>
      <c r="N22" s="21" t="s">
        <v>134</v>
      </c>
      <c r="O22" s="21"/>
      <c r="P22" s="21"/>
      <c r="Q22" s="12" t="s">
        <v>296</v>
      </c>
      <c r="R22" s="12"/>
      <c r="S22" s="12"/>
      <c r="T22" s="12" t="s">
        <v>297</v>
      </c>
      <c r="U22" s="12" t="s">
        <v>260</v>
      </c>
      <c r="V22" s="12" t="s">
        <v>822</v>
      </c>
      <c r="W22" s="12">
        <v>2015</v>
      </c>
      <c r="X22" s="12">
        <v>2001</v>
      </c>
      <c r="Y22" s="12">
        <v>2007</v>
      </c>
      <c r="Z22" s="12" t="s">
        <v>143</v>
      </c>
      <c r="AA22" s="12" t="s">
        <v>819</v>
      </c>
      <c r="AB22" s="12" t="s">
        <v>150</v>
      </c>
      <c r="AC22" s="12"/>
      <c r="AD22" s="12" t="s">
        <v>150</v>
      </c>
      <c r="AE22" s="12"/>
      <c r="AF22" s="12" t="s">
        <v>150</v>
      </c>
      <c r="AG22" s="12" t="s">
        <v>141</v>
      </c>
    </row>
    <row r="23" spans="1:33" ht="117" x14ac:dyDescent="0.2">
      <c r="A23" s="10" t="s">
        <v>165</v>
      </c>
      <c r="B23" s="10" t="s">
        <v>123</v>
      </c>
      <c r="C23" s="10" t="s">
        <v>516</v>
      </c>
      <c r="D23" s="10" t="s">
        <v>823</v>
      </c>
      <c r="E23" s="10" t="s">
        <v>824</v>
      </c>
      <c r="F23" s="10" t="s">
        <v>517</v>
      </c>
      <c r="G23" s="21"/>
      <c r="H23" s="21"/>
      <c r="I23" s="21"/>
      <c r="J23" s="21"/>
      <c r="K23" s="21"/>
      <c r="L23" s="21"/>
      <c r="M23" s="21"/>
      <c r="N23" s="21" t="s">
        <v>134</v>
      </c>
      <c r="O23" s="21" t="s">
        <v>134</v>
      </c>
      <c r="P23" s="21"/>
      <c r="Q23" s="10" t="s">
        <v>296</v>
      </c>
      <c r="R23" s="10"/>
      <c r="S23" s="10"/>
      <c r="T23" s="10" t="s">
        <v>297</v>
      </c>
      <c r="U23" s="10" t="s">
        <v>260</v>
      </c>
      <c r="V23" s="10" t="s">
        <v>825</v>
      </c>
      <c r="W23" s="10">
        <v>2016</v>
      </c>
      <c r="X23" s="10">
        <v>1999</v>
      </c>
      <c r="Y23" s="10">
        <v>2011</v>
      </c>
      <c r="Z23" s="10" t="s">
        <v>140</v>
      </c>
      <c r="AA23" s="10" t="s">
        <v>826</v>
      </c>
      <c r="AB23" s="10" t="s">
        <v>150</v>
      </c>
      <c r="AC23" s="10"/>
      <c r="AD23" s="10" t="s">
        <v>150</v>
      </c>
      <c r="AE23" s="10"/>
      <c r="AF23" s="10" t="s">
        <v>150</v>
      </c>
      <c r="AG23" s="10" t="s">
        <v>141</v>
      </c>
    </row>
    <row r="24" spans="1:33" ht="128" x14ac:dyDescent="0.2">
      <c r="A24" s="12" t="s">
        <v>166</v>
      </c>
      <c r="B24" s="30" t="s">
        <v>123</v>
      </c>
      <c r="C24" s="12" t="s">
        <v>518</v>
      </c>
      <c r="D24" s="12" t="s">
        <v>827</v>
      </c>
      <c r="E24" s="12" t="s">
        <v>828</v>
      </c>
      <c r="F24" s="12" t="s">
        <v>519</v>
      </c>
      <c r="G24" s="21" t="s">
        <v>134</v>
      </c>
      <c r="H24" s="21"/>
      <c r="I24" s="21"/>
      <c r="J24" s="21"/>
      <c r="K24" s="21"/>
      <c r="L24" s="21"/>
      <c r="M24" s="21"/>
      <c r="N24" s="21"/>
      <c r="O24" s="21"/>
      <c r="P24" s="21"/>
      <c r="Q24" s="12" t="s">
        <v>296</v>
      </c>
      <c r="R24" s="12"/>
      <c r="S24" s="12"/>
      <c r="T24" s="12" t="s">
        <v>92</v>
      </c>
      <c r="U24" s="12" t="s">
        <v>92</v>
      </c>
      <c r="V24" s="12" t="s">
        <v>829</v>
      </c>
      <c r="W24" s="12">
        <v>2017</v>
      </c>
      <c r="X24" s="12">
        <v>2001</v>
      </c>
      <c r="Y24" s="12">
        <v>2010</v>
      </c>
      <c r="Z24" s="12" t="s">
        <v>143</v>
      </c>
      <c r="AA24" s="12" t="s">
        <v>830</v>
      </c>
      <c r="AB24" s="12" t="s">
        <v>1019</v>
      </c>
      <c r="AC24" s="12" t="s">
        <v>831</v>
      </c>
      <c r="AD24" s="12" t="s">
        <v>150</v>
      </c>
      <c r="AE24" s="12"/>
      <c r="AF24" s="12" t="s">
        <v>134</v>
      </c>
      <c r="AG24" s="12" t="s">
        <v>138</v>
      </c>
    </row>
    <row r="25" spans="1:33" ht="130" x14ac:dyDescent="0.2">
      <c r="A25" s="10" t="s">
        <v>167</v>
      </c>
      <c r="B25" s="10" t="s">
        <v>123</v>
      </c>
      <c r="C25" s="10" t="s">
        <v>520</v>
      </c>
      <c r="D25" s="10" t="s">
        <v>832</v>
      </c>
      <c r="E25" s="10" t="s">
        <v>833</v>
      </c>
      <c r="F25" s="10" t="s">
        <v>521</v>
      </c>
      <c r="G25" s="21"/>
      <c r="H25" s="21"/>
      <c r="I25" s="21"/>
      <c r="J25" s="21"/>
      <c r="K25" s="21"/>
      <c r="L25" s="21"/>
      <c r="M25" s="21"/>
      <c r="N25" s="21" t="s">
        <v>134</v>
      </c>
      <c r="O25" s="21" t="s">
        <v>134</v>
      </c>
      <c r="P25" s="21"/>
      <c r="Q25" s="10" t="s">
        <v>296</v>
      </c>
      <c r="R25" s="10"/>
      <c r="S25" s="10"/>
      <c r="T25" s="10" t="s">
        <v>297</v>
      </c>
      <c r="U25" s="10" t="s">
        <v>138</v>
      </c>
      <c r="V25" s="10" t="s">
        <v>834</v>
      </c>
      <c r="W25" s="10">
        <v>2017</v>
      </c>
      <c r="X25" s="10">
        <v>1992</v>
      </c>
      <c r="Y25" s="10">
        <v>2012</v>
      </c>
      <c r="Z25" s="10" t="s">
        <v>143</v>
      </c>
      <c r="AA25" s="10" t="s">
        <v>835</v>
      </c>
      <c r="AB25" s="10" t="s">
        <v>150</v>
      </c>
      <c r="AC25" s="10"/>
      <c r="AD25" s="10" t="s">
        <v>150</v>
      </c>
      <c r="AE25" s="10"/>
      <c r="AF25" s="10" t="s">
        <v>142</v>
      </c>
      <c r="AG25" s="10" t="s">
        <v>141</v>
      </c>
    </row>
    <row r="26" spans="1:33" ht="130" x14ac:dyDescent="0.2">
      <c r="A26" s="12" t="s">
        <v>168</v>
      </c>
      <c r="B26" s="30" t="s">
        <v>123</v>
      </c>
      <c r="C26" s="12" t="s">
        <v>523</v>
      </c>
      <c r="D26" s="12" t="s">
        <v>836</v>
      </c>
      <c r="E26" s="12" t="s">
        <v>837</v>
      </c>
      <c r="F26" s="12" t="s">
        <v>522</v>
      </c>
      <c r="G26" s="21"/>
      <c r="H26" s="21"/>
      <c r="I26" s="21" t="s">
        <v>134</v>
      </c>
      <c r="J26" s="21"/>
      <c r="K26" s="21"/>
      <c r="L26" s="21"/>
      <c r="M26" s="21"/>
      <c r="N26" s="21" t="s">
        <v>134</v>
      </c>
      <c r="O26" s="21" t="s">
        <v>134</v>
      </c>
      <c r="P26" s="21"/>
      <c r="Q26" s="12" t="s">
        <v>296</v>
      </c>
      <c r="R26" s="12"/>
      <c r="S26" s="12"/>
      <c r="T26" s="12" t="s">
        <v>297</v>
      </c>
      <c r="U26" s="12" t="s">
        <v>260</v>
      </c>
      <c r="V26" s="12" t="s">
        <v>838</v>
      </c>
      <c r="W26" s="12">
        <v>2019</v>
      </c>
      <c r="X26" s="12">
        <v>2004</v>
      </c>
      <c r="Y26" s="12">
        <v>2013</v>
      </c>
      <c r="Z26" s="12" t="s">
        <v>140</v>
      </c>
      <c r="AA26" s="12" t="s">
        <v>826</v>
      </c>
      <c r="AB26" s="12" t="s">
        <v>150</v>
      </c>
      <c r="AC26" s="12"/>
      <c r="AD26" s="12" t="s">
        <v>150</v>
      </c>
      <c r="AE26" s="12"/>
      <c r="AF26" s="12" t="s">
        <v>150</v>
      </c>
      <c r="AG26" s="12" t="s">
        <v>141</v>
      </c>
    </row>
    <row r="27" spans="1:33" ht="130" x14ac:dyDescent="0.2">
      <c r="A27" s="10" t="s">
        <v>169</v>
      </c>
      <c r="B27" s="10" t="s">
        <v>123</v>
      </c>
      <c r="C27" s="10" t="s">
        <v>524</v>
      </c>
      <c r="D27" s="10" t="s">
        <v>839</v>
      </c>
      <c r="E27" s="10" t="s">
        <v>840</v>
      </c>
      <c r="F27" s="10" t="s">
        <v>525</v>
      </c>
      <c r="G27" s="21" t="s">
        <v>134</v>
      </c>
      <c r="H27" s="21"/>
      <c r="I27" s="21"/>
      <c r="J27" s="21"/>
      <c r="K27" s="21"/>
      <c r="L27" s="21"/>
      <c r="M27" s="21"/>
      <c r="N27" s="21"/>
      <c r="O27" s="21"/>
      <c r="P27" s="21"/>
      <c r="Q27" s="10" t="s">
        <v>296</v>
      </c>
      <c r="R27" s="10" t="s">
        <v>68</v>
      </c>
      <c r="S27" s="10"/>
      <c r="T27" s="10" t="s">
        <v>297</v>
      </c>
      <c r="U27" s="10" t="s">
        <v>372</v>
      </c>
      <c r="V27" s="10" t="s">
        <v>841</v>
      </c>
      <c r="W27" s="10">
        <v>2019</v>
      </c>
      <c r="X27" s="10">
        <v>2007</v>
      </c>
      <c r="Y27" s="10">
        <v>2016</v>
      </c>
      <c r="Z27" s="10" t="s">
        <v>143</v>
      </c>
      <c r="AA27" s="10" t="s">
        <v>699</v>
      </c>
      <c r="AB27" s="10" t="s">
        <v>1019</v>
      </c>
      <c r="AC27" s="10" t="s">
        <v>842</v>
      </c>
      <c r="AD27" s="10" t="s">
        <v>150</v>
      </c>
      <c r="AE27" s="10"/>
      <c r="AF27" s="10" t="s">
        <v>142</v>
      </c>
      <c r="AG27" s="10" t="s">
        <v>628</v>
      </c>
    </row>
    <row r="28" spans="1:33" ht="117" x14ac:dyDescent="0.2">
      <c r="A28" s="12" t="s">
        <v>170</v>
      </c>
      <c r="B28" s="30" t="s">
        <v>123</v>
      </c>
      <c r="C28" s="12" t="s">
        <v>527</v>
      </c>
      <c r="D28" s="12" t="s">
        <v>843</v>
      </c>
      <c r="E28" s="12" t="s">
        <v>844</v>
      </c>
      <c r="F28" s="12" t="s">
        <v>526</v>
      </c>
      <c r="G28" s="21" t="s">
        <v>134</v>
      </c>
      <c r="H28" s="21"/>
      <c r="I28" s="21"/>
      <c r="J28" s="21"/>
      <c r="K28" s="21"/>
      <c r="L28" s="21" t="s">
        <v>134</v>
      </c>
      <c r="M28" s="21"/>
      <c r="N28" s="21"/>
      <c r="O28" s="21"/>
      <c r="P28" s="21"/>
      <c r="Q28" s="12" t="s">
        <v>296</v>
      </c>
      <c r="R28" s="12" t="s">
        <v>68</v>
      </c>
      <c r="S28" s="12"/>
      <c r="T28" s="12" t="s">
        <v>260</v>
      </c>
      <c r="U28" s="12" t="s">
        <v>372</v>
      </c>
      <c r="V28" s="12" t="s">
        <v>845</v>
      </c>
      <c r="W28" s="12">
        <v>2020</v>
      </c>
      <c r="X28" s="12">
        <v>2004</v>
      </c>
      <c r="Y28" s="12">
        <v>2017</v>
      </c>
      <c r="Z28" s="12" t="s">
        <v>143</v>
      </c>
      <c r="AA28" s="12" t="s">
        <v>846</v>
      </c>
      <c r="AB28" s="12" t="s">
        <v>150</v>
      </c>
      <c r="AC28" s="12"/>
      <c r="AD28" s="12" t="s">
        <v>150</v>
      </c>
      <c r="AE28" s="12"/>
      <c r="AF28" s="12" t="s">
        <v>142</v>
      </c>
      <c r="AG28" s="12" t="s">
        <v>628</v>
      </c>
    </row>
    <row r="29" spans="1:33" ht="130" x14ac:dyDescent="0.2">
      <c r="A29" s="10" t="s">
        <v>171</v>
      </c>
      <c r="B29" s="10" t="s">
        <v>123</v>
      </c>
      <c r="C29" s="10" t="s">
        <v>528</v>
      </c>
      <c r="D29" s="10" t="s">
        <v>847</v>
      </c>
      <c r="E29" s="10" t="s">
        <v>848</v>
      </c>
      <c r="F29" s="10" t="s">
        <v>529</v>
      </c>
      <c r="G29" s="21"/>
      <c r="H29" s="21"/>
      <c r="I29" s="21" t="s">
        <v>134</v>
      </c>
      <c r="J29" s="21"/>
      <c r="K29" s="21"/>
      <c r="L29" s="21"/>
      <c r="M29" s="21"/>
      <c r="N29" s="21" t="s">
        <v>134</v>
      </c>
      <c r="O29" s="21" t="s">
        <v>134</v>
      </c>
      <c r="P29" s="21"/>
      <c r="Q29" s="10" t="s">
        <v>296</v>
      </c>
      <c r="R29" s="10"/>
      <c r="S29" s="10"/>
      <c r="T29" s="10" t="s">
        <v>297</v>
      </c>
      <c r="U29" s="10" t="s">
        <v>260</v>
      </c>
      <c r="V29" s="10" t="s">
        <v>849</v>
      </c>
      <c r="W29" s="10">
        <v>2020</v>
      </c>
      <c r="X29" s="10">
        <v>2003</v>
      </c>
      <c r="Y29" s="10">
        <v>2006</v>
      </c>
      <c r="Z29" s="10" t="s">
        <v>143</v>
      </c>
      <c r="AA29" s="10" t="s">
        <v>850</v>
      </c>
      <c r="AB29" s="10" t="s">
        <v>1019</v>
      </c>
      <c r="AC29" s="10" t="s">
        <v>851</v>
      </c>
      <c r="AD29" s="10" t="s">
        <v>150</v>
      </c>
      <c r="AE29" s="10"/>
      <c r="AF29" s="10" t="s">
        <v>142</v>
      </c>
      <c r="AG29" s="10" t="s">
        <v>141</v>
      </c>
    </row>
    <row r="30" spans="1:33" ht="117" x14ac:dyDescent="0.2">
      <c r="A30" s="12" t="s">
        <v>172</v>
      </c>
      <c r="B30" s="30" t="s">
        <v>123</v>
      </c>
      <c r="C30" s="12" t="s">
        <v>531</v>
      </c>
      <c r="D30" s="12" t="s">
        <v>852</v>
      </c>
      <c r="E30" s="12" t="s">
        <v>853</v>
      </c>
      <c r="F30" s="12" t="s">
        <v>530</v>
      </c>
      <c r="G30" s="21"/>
      <c r="H30" s="21"/>
      <c r="I30" s="21"/>
      <c r="J30" s="21"/>
      <c r="K30" s="21"/>
      <c r="L30" s="21"/>
      <c r="M30" s="21"/>
      <c r="N30" s="21" t="s">
        <v>134</v>
      </c>
      <c r="O30" s="21"/>
      <c r="P30" s="21"/>
      <c r="Q30" s="12" t="s">
        <v>296</v>
      </c>
      <c r="R30" s="12"/>
      <c r="S30" s="12"/>
      <c r="T30" s="12" t="s">
        <v>297</v>
      </c>
      <c r="U30" s="12" t="s">
        <v>138</v>
      </c>
      <c r="V30" s="12" t="s">
        <v>854</v>
      </c>
      <c r="W30" s="12">
        <v>2021</v>
      </c>
      <c r="X30" s="12">
        <v>1995</v>
      </c>
      <c r="Y30" s="12">
        <v>2014</v>
      </c>
      <c r="Z30" s="12" t="s">
        <v>140</v>
      </c>
      <c r="AA30" s="12" t="s">
        <v>855</v>
      </c>
      <c r="AB30" s="12" t="s">
        <v>150</v>
      </c>
      <c r="AC30" s="12"/>
      <c r="AD30" s="12" t="s">
        <v>150</v>
      </c>
      <c r="AE30" s="12"/>
      <c r="AF30" s="12" t="s">
        <v>150</v>
      </c>
      <c r="AG30" s="12" t="s">
        <v>387</v>
      </c>
    </row>
    <row r="31" spans="1:33" ht="130" x14ac:dyDescent="0.2">
      <c r="A31" s="10" t="s">
        <v>173</v>
      </c>
      <c r="B31" s="10" t="s">
        <v>123</v>
      </c>
      <c r="C31" s="10" t="s">
        <v>532</v>
      </c>
      <c r="D31" s="10" t="s">
        <v>856</v>
      </c>
      <c r="E31" s="10" t="s">
        <v>857</v>
      </c>
      <c r="F31" s="10" t="s">
        <v>533</v>
      </c>
      <c r="G31" s="21" t="s">
        <v>134</v>
      </c>
      <c r="H31" s="21"/>
      <c r="I31" s="21"/>
      <c r="J31" s="21"/>
      <c r="K31" s="21"/>
      <c r="L31" s="21"/>
      <c r="M31" s="21"/>
      <c r="N31" s="21"/>
      <c r="O31" s="21"/>
      <c r="P31" s="21" t="s">
        <v>1037</v>
      </c>
      <c r="Q31" s="10" t="s">
        <v>296</v>
      </c>
      <c r="R31" s="10" t="s">
        <v>68</v>
      </c>
      <c r="S31" s="10"/>
      <c r="T31" s="10" t="s">
        <v>260</v>
      </c>
      <c r="U31" s="10" t="s">
        <v>372</v>
      </c>
      <c r="V31" s="10" t="s">
        <v>858</v>
      </c>
      <c r="W31" s="10">
        <v>2021</v>
      </c>
      <c r="X31" s="10">
        <v>2001</v>
      </c>
      <c r="Y31" s="10">
        <v>2020</v>
      </c>
      <c r="Z31" s="10" t="s">
        <v>143</v>
      </c>
      <c r="AA31" s="10" t="s">
        <v>859</v>
      </c>
      <c r="AB31" s="10" t="s">
        <v>1019</v>
      </c>
      <c r="AC31" s="10" t="s">
        <v>860</v>
      </c>
      <c r="AD31" s="10" t="s">
        <v>150</v>
      </c>
      <c r="AE31" s="10"/>
      <c r="AF31" s="10" t="s">
        <v>142</v>
      </c>
      <c r="AG31" s="10" t="s">
        <v>138</v>
      </c>
    </row>
    <row r="32" spans="1:33" ht="130" x14ac:dyDescent="0.2">
      <c r="A32" s="12" t="s">
        <v>174</v>
      </c>
      <c r="B32" s="30" t="s">
        <v>123</v>
      </c>
      <c r="C32" s="12" t="s">
        <v>534</v>
      </c>
      <c r="D32" s="12" t="s">
        <v>861</v>
      </c>
      <c r="E32" s="12" t="s">
        <v>862</v>
      </c>
      <c r="F32" s="12" t="s">
        <v>535</v>
      </c>
      <c r="G32" s="21"/>
      <c r="H32" s="21"/>
      <c r="I32" s="21"/>
      <c r="J32" s="21"/>
      <c r="K32" s="21"/>
      <c r="L32" s="21"/>
      <c r="M32" s="21"/>
      <c r="N32" s="21" t="s">
        <v>134</v>
      </c>
      <c r="O32" s="21" t="s">
        <v>134</v>
      </c>
      <c r="P32" s="21"/>
      <c r="Q32" s="12" t="s">
        <v>296</v>
      </c>
      <c r="R32" s="12"/>
      <c r="S32" s="12"/>
      <c r="T32" s="12" t="s">
        <v>138</v>
      </c>
      <c r="U32" s="12" t="s">
        <v>297</v>
      </c>
      <c r="V32" s="12" t="s">
        <v>863</v>
      </c>
      <c r="W32" s="12">
        <v>2021</v>
      </c>
      <c r="X32" s="12">
        <v>1988</v>
      </c>
      <c r="Y32" s="12">
        <v>2016</v>
      </c>
      <c r="Z32" s="12" t="s">
        <v>140</v>
      </c>
      <c r="AA32" s="12" t="s">
        <v>864</v>
      </c>
      <c r="AB32" s="12" t="s">
        <v>150</v>
      </c>
      <c r="AC32" s="12"/>
      <c r="AD32" s="12" t="s">
        <v>150</v>
      </c>
      <c r="AE32" s="12"/>
      <c r="AF32" s="12" t="s">
        <v>150</v>
      </c>
      <c r="AG32" s="12" t="s">
        <v>138</v>
      </c>
    </row>
    <row r="33" spans="1:33" ht="130" x14ac:dyDescent="0.2">
      <c r="A33" s="10" t="s">
        <v>175</v>
      </c>
      <c r="B33" s="10" t="s">
        <v>123</v>
      </c>
      <c r="C33" s="10" t="s">
        <v>536</v>
      </c>
      <c r="D33" s="10" t="s">
        <v>865</v>
      </c>
      <c r="E33" s="10" t="s">
        <v>866</v>
      </c>
      <c r="F33" s="10" t="s">
        <v>537</v>
      </c>
      <c r="G33" s="21"/>
      <c r="H33" s="21" t="s">
        <v>134</v>
      </c>
      <c r="I33" s="21"/>
      <c r="J33" s="21"/>
      <c r="K33" s="21"/>
      <c r="L33" s="21"/>
      <c r="M33" s="21" t="s">
        <v>134</v>
      </c>
      <c r="N33" s="21"/>
      <c r="O33" s="21"/>
      <c r="P33" s="21"/>
      <c r="Q33" s="10" t="s">
        <v>296</v>
      </c>
      <c r="R33" s="10"/>
      <c r="S33" s="10"/>
      <c r="T33" s="10" t="s">
        <v>297</v>
      </c>
      <c r="U33" s="10" t="s">
        <v>260</v>
      </c>
      <c r="V33" s="10" t="s">
        <v>867</v>
      </c>
      <c r="W33" s="10">
        <v>2021</v>
      </c>
      <c r="X33" s="10">
        <v>2005</v>
      </c>
      <c r="Y33" s="10">
        <v>2017</v>
      </c>
      <c r="Z33" s="10" t="s">
        <v>143</v>
      </c>
      <c r="AA33" s="10" t="s">
        <v>819</v>
      </c>
      <c r="AB33" s="10" t="s">
        <v>150</v>
      </c>
      <c r="AC33" s="10"/>
      <c r="AD33" s="10" t="s">
        <v>150</v>
      </c>
      <c r="AE33" s="10"/>
      <c r="AF33" s="10" t="s">
        <v>150</v>
      </c>
      <c r="AG33" s="10" t="s">
        <v>141</v>
      </c>
    </row>
    <row r="34" spans="1:33" ht="104" x14ac:dyDescent="0.2">
      <c r="A34" s="12" t="s">
        <v>176</v>
      </c>
      <c r="B34" s="30" t="s">
        <v>123</v>
      </c>
      <c r="C34" s="12" t="s">
        <v>538</v>
      </c>
      <c r="D34" s="12" t="s">
        <v>868</v>
      </c>
      <c r="E34" s="12" t="s">
        <v>869</v>
      </c>
      <c r="F34" s="12" t="s">
        <v>539</v>
      </c>
      <c r="G34" s="21"/>
      <c r="H34" s="21"/>
      <c r="I34" s="21"/>
      <c r="J34" s="21"/>
      <c r="K34" s="21"/>
      <c r="L34" s="21"/>
      <c r="M34" s="21"/>
      <c r="N34" s="21" t="s">
        <v>134</v>
      </c>
      <c r="O34" s="21"/>
      <c r="P34" s="21"/>
      <c r="Q34" s="12" t="s">
        <v>296</v>
      </c>
      <c r="R34" s="12"/>
      <c r="S34" s="12"/>
      <c r="T34" s="12" t="s">
        <v>297</v>
      </c>
      <c r="U34" s="12" t="s">
        <v>260</v>
      </c>
      <c r="V34" s="12" t="s">
        <v>870</v>
      </c>
      <c r="W34" s="12">
        <v>2021</v>
      </c>
      <c r="X34" s="12">
        <v>2003</v>
      </c>
      <c r="Y34" s="12">
        <v>2015</v>
      </c>
      <c r="Z34" s="12" t="s">
        <v>140</v>
      </c>
      <c r="AA34" s="12" t="s">
        <v>871</v>
      </c>
      <c r="AB34" s="12" t="s">
        <v>150</v>
      </c>
      <c r="AC34" s="12"/>
      <c r="AD34" s="12" t="s">
        <v>150</v>
      </c>
      <c r="AE34" s="12"/>
      <c r="AF34" s="12" t="s">
        <v>150</v>
      </c>
      <c r="AG34" s="12" t="s">
        <v>141</v>
      </c>
    </row>
    <row r="35" spans="1:33" ht="143" x14ac:dyDescent="0.2">
      <c r="A35" s="10" t="s">
        <v>177</v>
      </c>
      <c r="B35" s="10" t="s">
        <v>123</v>
      </c>
      <c r="C35" s="10" t="s">
        <v>540</v>
      </c>
      <c r="D35" s="10" t="s">
        <v>872</v>
      </c>
      <c r="E35" s="10" t="s">
        <v>873</v>
      </c>
      <c r="F35" s="10" t="s">
        <v>541</v>
      </c>
      <c r="G35" s="21"/>
      <c r="H35" s="21"/>
      <c r="I35" s="21"/>
      <c r="J35" s="21"/>
      <c r="K35" s="21"/>
      <c r="L35" s="21" t="s">
        <v>134</v>
      </c>
      <c r="M35" s="21" t="s">
        <v>134</v>
      </c>
      <c r="N35" s="21"/>
      <c r="O35" s="21"/>
      <c r="P35" s="21"/>
      <c r="Q35" s="10" t="s">
        <v>296</v>
      </c>
      <c r="R35" s="10"/>
      <c r="S35" s="10"/>
      <c r="T35" s="10" t="s">
        <v>138</v>
      </c>
      <c r="U35" s="10" t="s">
        <v>260</v>
      </c>
      <c r="V35" s="10" t="s">
        <v>874</v>
      </c>
      <c r="W35" s="10">
        <v>2021</v>
      </c>
      <c r="X35" s="10">
        <v>2010</v>
      </c>
      <c r="Y35" s="10">
        <v>2018</v>
      </c>
      <c r="Z35" s="10" t="s">
        <v>140</v>
      </c>
      <c r="AA35" s="10" t="s">
        <v>875</v>
      </c>
      <c r="AB35" s="10" t="s">
        <v>150</v>
      </c>
      <c r="AC35" s="10"/>
      <c r="AD35" s="10" t="s">
        <v>150</v>
      </c>
      <c r="AE35" s="10"/>
      <c r="AF35" s="10" t="s">
        <v>142</v>
      </c>
      <c r="AG35" s="10" t="s">
        <v>141</v>
      </c>
    </row>
    <row r="36" spans="1:33" ht="143" x14ac:dyDescent="0.2">
      <c r="A36" s="12" t="s">
        <v>178</v>
      </c>
      <c r="B36" s="30" t="s">
        <v>123</v>
      </c>
      <c r="C36" s="12" t="s">
        <v>542</v>
      </c>
      <c r="D36" s="12" t="s">
        <v>876</v>
      </c>
      <c r="E36" s="12" t="s">
        <v>877</v>
      </c>
      <c r="F36" s="12" t="s">
        <v>543</v>
      </c>
      <c r="G36" s="21"/>
      <c r="H36" s="21"/>
      <c r="I36" s="21" t="s">
        <v>134</v>
      </c>
      <c r="J36" s="21"/>
      <c r="K36" s="21"/>
      <c r="L36" s="21"/>
      <c r="M36" s="21" t="s">
        <v>134</v>
      </c>
      <c r="N36" s="21"/>
      <c r="O36" s="21" t="s">
        <v>134</v>
      </c>
      <c r="P36" s="21"/>
      <c r="Q36" s="12" t="s">
        <v>296</v>
      </c>
      <c r="R36" s="12"/>
      <c r="S36" s="12"/>
      <c r="T36" s="12" t="s">
        <v>297</v>
      </c>
      <c r="U36" s="12" t="s">
        <v>260</v>
      </c>
      <c r="V36" s="12" t="s">
        <v>878</v>
      </c>
      <c r="W36" s="12">
        <v>2021</v>
      </c>
      <c r="X36" s="12">
        <v>2005</v>
      </c>
      <c r="Y36" s="12">
        <v>2018</v>
      </c>
      <c r="Z36" s="12" t="s">
        <v>140</v>
      </c>
      <c r="AA36" s="12" t="s">
        <v>879</v>
      </c>
      <c r="AB36" s="12" t="s">
        <v>150</v>
      </c>
      <c r="AC36" s="12"/>
      <c r="AD36" s="12" t="s">
        <v>150</v>
      </c>
      <c r="AE36" s="12"/>
      <c r="AF36" s="12" t="s">
        <v>150</v>
      </c>
      <c r="AG36" s="12" t="s">
        <v>141</v>
      </c>
    </row>
    <row r="37" spans="1:33" ht="130" x14ac:dyDescent="0.2">
      <c r="A37" s="10" t="s">
        <v>179</v>
      </c>
      <c r="B37" s="10" t="s">
        <v>123</v>
      </c>
      <c r="C37" s="10" t="s">
        <v>544</v>
      </c>
      <c r="D37" s="10" t="s">
        <v>880</v>
      </c>
      <c r="E37" s="10" t="s">
        <v>881</v>
      </c>
      <c r="F37" s="10" t="s">
        <v>546</v>
      </c>
      <c r="G37" s="21"/>
      <c r="H37" s="21"/>
      <c r="I37" s="21" t="s">
        <v>134</v>
      </c>
      <c r="J37" s="21" t="s">
        <v>134</v>
      </c>
      <c r="K37" s="21"/>
      <c r="L37" s="21"/>
      <c r="M37" s="21"/>
      <c r="N37" s="21"/>
      <c r="O37" s="21"/>
      <c r="P37" s="21"/>
      <c r="Q37" s="10" t="s">
        <v>138</v>
      </c>
      <c r="R37" s="10" t="s">
        <v>296</v>
      </c>
      <c r="S37" s="10" t="s">
        <v>882</v>
      </c>
      <c r="T37" s="10" t="s">
        <v>297</v>
      </c>
      <c r="U37" s="10" t="s">
        <v>260</v>
      </c>
      <c r="V37" s="10" t="s">
        <v>883</v>
      </c>
      <c r="W37" s="10">
        <v>2021</v>
      </c>
      <c r="X37" s="10">
        <v>2009</v>
      </c>
      <c r="Y37" s="10">
        <v>2019</v>
      </c>
      <c r="Z37" s="10" t="s">
        <v>143</v>
      </c>
      <c r="AA37" s="10" t="s">
        <v>884</v>
      </c>
      <c r="AB37" s="10" t="s">
        <v>150</v>
      </c>
      <c r="AC37" s="10"/>
      <c r="AD37" s="10" t="s">
        <v>150</v>
      </c>
      <c r="AE37" s="10"/>
      <c r="AF37" s="10" t="s">
        <v>150</v>
      </c>
      <c r="AG37" s="10" t="s">
        <v>387</v>
      </c>
    </row>
    <row r="38" spans="1:33" ht="130" x14ac:dyDescent="0.2">
      <c r="A38" s="12" t="s">
        <v>180</v>
      </c>
      <c r="B38" s="30" t="s">
        <v>123</v>
      </c>
      <c r="C38" s="12" t="s">
        <v>545</v>
      </c>
      <c r="D38" s="12" t="s">
        <v>885</v>
      </c>
      <c r="E38" s="12" t="s">
        <v>886</v>
      </c>
      <c r="F38" s="12" t="s">
        <v>547</v>
      </c>
      <c r="G38" s="21"/>
      <c r="H38" s="21" t="s">
        <v>134</v>
      </c>
      <c r="I38" s="21"/>
      <c r="J38" s="21"/>
      <c r="K38" s="21"/>
      <c r="L38" s="21"/>
      <c r="M38" s="21" t="s">
        <v>134</v>
      </c>
      <c r="N38" s="21"/>
      <c r="O38" s="21"/>
      <c r="P38" s="21"/>
      <c r="Q38" s="12" t="s">
        <v>296</v>
      </c>
      <c r="R38" s="12"/>
      <c r="S38" s="12"/>
      <c r="T38" s="12" t="s">
        <v>92</v>
      </c>
      <c r="U38" s="12" t="s">
        <v>297</v>
      </c>
      <c r="V38" s="12" t="s">
        <v>927</v>
      </c>
      <c r="W38" s="12">
        <v>2022</v>
      </c>
      <c r="X38" s="12">
        <v>2010</v>
      </c>
      <c r="Y38" s="12">
        <v>2015</v>
      </c>
      <c r="Z38" s="12" t="s">
        <v>143</v>
      </c>
      <c r="AA38" s="12" t="s">
        <v>928</v>
      </c>
      <c r="AB38" s="12" t="s">
        <v>1019</v>
      </c>
      <c r="AC38" s="12" t="s">
        <v>969</v>
      </c>
      <c r="AD38" s="12" t="s">
        <v>150</v>
      </c>
      <c r="AE38" s="12"/>
      <c r="AF38" s="12" t="s">
        <v>142</v>
      </c>
      <c r="AG38" s="12" t="s">
        <v>141</v>
      </c>
    </row>
    <row r="39" spans="1:33" ht="117" x14ac:dyDescent="0.2">
      <c r="A39" s="10" t="s">
        <v>181</v>
      </c>
      <c r="B39" s="10" t="s">
        <v>123</v>
      </c>
      <c r="C39" s="10" t="s">
        <v>549</v>
      </c>
      <c r="D39" s="10" t="s">
        <v>887</v>
      </c>
      <c r="E39" s="10" t="s">
        <v>888</v>
      </c>
      <c r="F39" s="10" t="s">
        <v>548</v>
      </c>
      <c r="G39" s="21" t="s">
        <v>134</v>
      </c>
      <c r="H39" s="21"/>
      <c r="I39" s="21"/>
      <c r="J39" s="21"/>
      <c r="K39" s="21"/>
      <c r="L39" s="21"/>
      <c r="M39" s="21"/>
      <c r="N39" s="21" t="s">
        <v>134</v>
      </c>
      <c r="O39" s="21"/>
      <c r="P39" s="21"/>
      <c r="Q39" s="10" t="s">
        <v>296</v>
      </c>
      <c r="R39" s="10" t="s">
        <v>68</v>
      </c>
      <c r="S39" s="10"/>
      <c r="T39" s="10" t="s">
        <v>92</v>
      </c>
      <c r="U39" s="10" t="s">
        <v>372</v>
      </c>
      <c r="V39" s="10" t="s">
        <v>929</v>
      </c>
      <c r="W39" s="10">
        <v>2022</v>
      </c>
      <c r="X39" s="10">
        <v>2010</v>
      </c>
      <c r="Y39" s="10">
        <v>2019</v>
      </c>
      <c r="Z39" s="10" t="s">
        <v>143</v>
      </c>
      <c r="AA39" s="10" t="s">
        <v>930</v>
      </c>
      <c r="AB39" s="10" t="s">
        <v>1019</v>
      </c>
      <c r="AC39" s="10" t="s">
        <v>971</v>
      </c>
      <c r="AD39" s="10" t="s">
        <v>150</v>
      </c>
      <c r="AE39" s="10"/>
      <c r="AF39" s="10" t="s">
        <v>134</v>
      </c>
      <c r="AG39" s="10" t="s">
        <v>138</v>
      </c>
    </row>
    <row r="40" spans="1:33" ht="130" x14ac:dyDescent="0.2">
      <c r="A40" s="12" t="s">
        <v>182</v>
      </c>
      <c r="B40" s="30" t="s">
        <v>123</v>
      </c>
      <c r="C40" s="12" t="s">
        <v>550</v>
      </c>
      <c r="D40" s="12" t="s">
        <v>889</v>
      </c>
      <c r="E40" s="12" t="s">
        <v>890</v>
      </c>
      <c r="F40" s="12" t="s">
        <v>551</v>
      </c>
      <c r="G40" s="21"/>
      <c r="H40" s="21"/>
      <c r="I40" s="21" t="s">
        <v>134</v>
      </c>
      <c r="J40" s="21" t="s">
        <v>134</v>
      </c>
      <c r="K40" s="21"/>
      <c r="L40" s="21"/>
      <c r="M40" s="21"/>
      <c r="N40" s="21"/>
      <c r="O40" s="21"/>
      <c r="P40" s="21"/>
      <c r="Q40" s="12" t="s">
        <v>138</v>
      </c>
      <c r="R40" s="12" t="s">
        <v>296</v>
      </c>
      <c r="S40" s="12" t="s">
        <v>931</v>
      </c>
      <c r="T40" s="12" t="s">
        <v>297</v>
      </c>
      <c r="U40" s="12" t="s">
        <v>260</v>
      </c>
      <c r="V40" s="12" t="s">
        <v>932</v>
      </c>
      <c r="W40" s="12">
        <v>2022</v>
      </c>
      <c r="X40" s="12">
        <v>2002</v>
      </c>
      <c r="Y40" s="12">
        <v>2019</v>
      </c>
      <c r="Z40" s="12" t="s">
        <v>143</v>
      </c>
      <c r="AA40" s="12" t="s">
        <v>884</v>
      </c>
      <c r="AB40" s="12" t="s">
        <v>150</v>
      </c>
      <c r="AC40" s="12"/>
      <c r="AD40" s="12" t="s">
        <v>150</v>
      </c>
      <c r="AE40" s="12"/>
      <c r="AF40" s="12" t="s">
        <v>150</v>
      </c>
      <c r="AG40" s="12" t="s">
        <v>387</v>
      </c>
    </row>
    <row r="41" spans="1:33" ht="143" x14ac:dyDescent="0.2">
      <c r="A41" s="10" t="s">
        <v>183</v>
      </c>
      <c r="B41" s="10" t="s">
        <v>123</v>
      </c>
      <c r="C41" s="10" t="s">
        <v>552</v>
      </c>
      <c r="D41" s="10" t="s">
        <v>891</v>
      </c>
      <c r="E41" s="10" t="s">
        <v>892</v>
      </c>
      <c r="F41" s="10" t="s">
        <v>553</v>
      </c>
      <c r="G41" s="21"/>
      <c r="H41" s="21" t="s">
        <v>134</v>
      </c>
      <c r="I41" s="21"/>
      <c r="J41" s="21" t="s">
        <v>134</v>
      </c>
      <c r="K41" s="21"/>
      <c r="L41" s="21"/>
      <c r="M41" s="21"/>
      <c r="N41" s="21"/>
      <c r="O41" s="21"/>
      <c r="P41" s="21"/>
      <c r="Q41" s="10" t="s">
        <v>296</v>
      </c>
      <c r="R41" s="10"/>
      <c r="S41" s="10"/>
      <c r="T41" s="10" t="s">
        <v>297</v>
      </c>
      <c r="U41" s="10" t="s">
        <v>260</v>
      </c>
      <c r="V41" s="10" t="s">
        <v>933</v>
      </c>
      <c r="W41" s="10">
        <v>2022</v>
      </c>
      <c r="X41" s="10">
        <v>2003</v>
      </c>
      <c r="Y41" s="10">
        <v>2018</v>
      </c>
      <c r="Z41" s="10" t="s">
        <v>143</v>
      </c>
      <c r="AA41" s="10" t="s">
        <v>819</v>
      </c>
      <c r="AB41" s="10" t="s">
        <v>150</v>
      </c>
      <c r="AC41" s="10"/>
      <c r="AD41" s="10" t="s">
        <v>134</v>
      </c>
      <c r="AE41" s="10" t="s">
        <v>972</v>
      </c>
      <c r="AF41" s="10" t="s">
        <v>150</v>
      </c>
      <c r="AG41" s="10" t="s">
        <v>387</v>
      </c>
    </row>
    <row r="42" spans="1:33" ht="143" x14ac:dyDescent="0.2">
      <c r="A42" s="12" t="s">
        <v>184</v>
      </c>
      <c r="B42" s="30" t="s">
        <v>123</v>
      </c>
      <c r="C42" s="12" t="s">
        <v>554</v>
      </c>
      <c r="D42" s="12" t="s">
        <v>893</v>
      </c>
      <c r="E42" s="12" t="s">
        <v>894</v>
      </c>
      <c r="F42" s="12" t="s">
        <v>555</v>
      </c>
      <c r="G42" s="21" t="s">
        <v>134</v>
      </c>
      <c r="H42" s="21"/>
      <c r="I42" s="21"/>
      <c r="J42" s="21"/>
      <c r="K42" s="21"/>
      <c r="L42" s="21"/>
      <c r="M42" s="21"/>
      <c r="N42" s="21" t="s">
        <v>134</v>
      </c>
      <c r="O42" s="21"/>
      <c r="P42" s="21"/>
      <c r="Q42" s="12" t="s">
        <v>296</v>
      </c>
      <c r="R42" s="12" t="s">
        <v>68</v>
      </c>
      <c r="S42" s="12"/>
      <c r="T42" s="12" t="s">
        <v>372</v>
      </c>
      <c r="U42" s="12" t="s">
        <v>297</v>
      </c>
      <c r="V42" s="12" t="s">
        <v>934</v>
      </c>
      <c r="W42" s="12">
        <v>2022</v>
      </c>
      <c r="X42" s="12">
        <v>2015</v>
      </c>
      <c r="Y42" s="12">
        <v>2019</v>
      </c>
      <c r="Z42" s="12" t="s">
        <v>143</v>
      </c>
      <c r="AA42" s="12" t="s">
        <v>935</v>
      </c>
      <c r="AB42" s="12" t="s">
        <v>1019</v>
      </c>
      <c r="AC42" s="12" t="s">
        <v>970</v>
      </c>
      <c r="AD42" s="12" t="s">
        <v>150</v>
      </c>
      <c r="AE42" s="12"/>
      <c r="AF42" s="12" t="s">
        <v>142</v>
      </c>
      <c r="AG42" s="12" t="s">
        <v>138</v>
      </c>
    </row>
    <row r="43" spans="1:33" ht="169" x14ac:dyDescent="0.2">
      <c r="A43" s="10" t="s">
        <v>185</v>
      </c>
      <c r="B43" s="10" t="s">
        <v>123</v>
      </c>
      <c r="C43" s="10" t="s">
        <v>557</v>
      </c>
      <c r="D43" s="10" t="s">
        <v>895</v>
      </c>
      <c r="E43" s="10" t="s">
        <v>896</v>
      </c>
      <c r="F43" s="10" t="s">
        <v>556</v>
      </c>
      <c r="G43" s="21" t="s">
        <v>134</v>
      </c>
      <c r="H43" s="21"/>
      <c r="I43" s="21"/>
      <c r="J43" s="21"/>
      <c r="K43" s="21"/>
      <c r="L43" s="21"/>
      <c r="M43" s="21"/>
      <c r="N43" s="21" t="s">
        <v>134</v>
      </c>
      <c r="O43" s="21"/>
      <c r="P43" s="21"/>
      <c r="Q43" s="10" t="s">
        <v>296</v>
      </c>
      <c r="R43" s="10" t="s">
        <v>68</v>
      </c>
      <c r="S43" s="10"/>
      <c r="T43" s="10" t="s">
        <v>297</v>
      </c>
      <c r="U43" s="10" t="s">
        <v>372</v>
      </c>
      <c r="V43" s="10" t="s">
        <v>936</v>
      </c>
      <c r="W43" s="10">
        <v>2022</v>
      </c>
      <c r="X43" s="10">
        <v>2018</v>
      </c>
      <c r="Y43" s="10">
        <v>2018</v>
      </c>
      <c r="Z43" s="10" t="s">
        <v>143</v>
      </c>
      <c r="AA43" s="10" t="s">
        <v>693</v>
      </c>
      <c r="AB43" s="10" t="s">
        <v>1019</v>
      </c>
      <c r="AC43" s="10" t="s">
        <v>973</v>
      </c>
      <c r="AD43" s="10" t="s">
        <v>150</v>
      </c>
      <c r="AE43" s="10"/>
      <c r="AF43" s="10" t="s">
        <v>142</v>
      </c>
      <c r="AG43" s="10" t="s">
        <v>628</v>
      </c>
    </row>
    <row r="44" spans="1:33" ht="130" x14ac:dyDescent="0.2">
      <c r="A44" s="12" t="s">
        <v>186</v>
      </c>
      <c r="B44" s="30" t="s">
        <v>123</v>
      </c>
      <c r="C44" s="12" t="s">
        <v>558</v>
      </c>
      <c r="D44" s="12" t="s">
        <v>897</v>
      </c>
      <c r="E44" s="12" t="s">
        <v>898</v>
      </c>
      <c r="F44" s="12" t="s">
        <v>559</v>
      </c>
      <c r="G44" s="21"/>
      <c r="H44" s="21"/>
      <c r="I44" s="21" t="s">
        <v>134</v>
      </c>
      <c r="J44" s="21" t="s">
        <v>134</v>
      </c>
      <c r="K44" s="21"/>
      <c r="L44" s="21"/>
      <c r="M44" s="21"/>
      <c r="N44" s="21"/>
      <c r="O44" s="21"/>
      <c r="P44" s="21"/>
      <c r="Q44" s="12" t="s">
        <v>296</v>
      </c>
      <c r="R44" s="12"/>
      <c r="S44" s="12"/>
      <c r="T44" s="12" t="s">
        <v>297</v>
      </c>
      <c r="U44" s="12" t="s">
        <v>260</v>
      </c>
      <c r="V44" s="12" t="s">
        <v>937</v>
      </c>
      <c r="W44" s="12">
        <v>2024</v>
      </c>
      <c r="X44" s="12">
        <v>2015</v>
      </c>
      <c r="Y44" s="12">
        <v>2017</v>
      </c>
      <c r="Z44" s="12" t="s">
        <v>140</v>
      </c>
      <c r="AA44" s="12" t="s">
        <v>938</v>
      </c>
      <c r="AB44" s="12" t="s">
        <v>150</v>
      </c>
      <c r="AC44" s="12"/>
      <c r="AD44" s="12" t="s">
        <v>134</v>
      </c>
      <c r="AE44" s="12" t="s">
        <v>974</v>
      </c>
      <c r="AF44" s="12" t="s">
        <v>150</v>
      </c>
      <c r="AG44" s="12" t="s">
        <v>387</v>
      </c>
    </row>
    <row r="45" spans="1:33" ht="117" x14ac:dyDescent="0.2">
      <c r="A45" s="10" t="s">
        <v>187</v>
      </c>
      <c r="B45" s="10" t="s">
        <v>123</v>
      </c>
      <c r="C45" s="10" t="s">
        <v>561</v>
      </c>
      <c r="D45" s="10" t="s">
        <v>899</v>
      </c>
      <c r="E45" s="10" t="s">
        <v>900</v>
      </c>
      <c r="F45" s="10" t="s">
        <v>560</v>
      </c>
      <c r="G45" s="21"/>
      <c r="H45" s="21"/>
      <c r="I45" s="21"/>
      <c r="J45" s="21"/>
      <c r="K45" s="21"/>
      <c r="L45" s="21"/>
      <c r="M45" s="21"/>
      <c r="N45" s="21" t="s">
        <v>134</v>
      </c>
      <c r="O45" s="21"/>
      <c r="P45" s="21"/>
      <c r="Q45" s="10" t="s">
        <v>296</v>
      </c>
      <c r="R45" s="10"/>
      <c r="S45" s="10"/>
      <c r="T45" s="10" t="s">
        <v>297</v>
      </c>
      <c r="U45" s="10" t="s">
        <v>260</v>
      </c>
      <c r="V45" s="10" t="s">
        <v>939</v>
      </c>
      <c r="W45" s="10">
        <v>2024</v>
      </c>
      <c r="X45" s="10">
        <v>1999</v>
      </c>
      <c r="Y45" s="10">
        <v>2021</v>
      </c>
      <c r="Z45" s="10" t="s">
        <v>140</v>
      </c>
      <c r="AA45" s="10" t="s">
        <v>940</v>
      </c>
      <c r="AB45" s="10" t="s">
        <v>134</v>
      </c>
      <c r="AC45" s="10" t="s">
        <v>975</v>
      </c>
      <c r="AD45" s="10" t="s">
        <v>134</v>
      </c>
      <c r="AE45" s="10" t="s">
        <v>975</v>
      </c>
      <c r="AF45" s="10"/>
      <c r="AG45" s="10" t="s">
        <v>387</v>
      </c>
    </row>
    <row r="46" spans="1:33" ht="117" x14ac:dyDescent="0.2">
      <c r="A46" s="12" t="s">
        <v>188</v>
      </c>
      <c r="B46" s="30" t="s">
        <v>123</v>
      </c>
      <c r="C46" s="12" t="s">
        <v>563</v>
      </c>
      <c r="D46" s="12" t="s">
        <v>901</v>
      </c>
      <c r="E46" s="12" t="s">
        <v>902</v>
      </c>
      <c r="F46" s="12" t="s">
        <v>562</v>
      </c>
      <c r="G46" s="21"/>
      <c r="H46" s="21"/>
      <c r="I46" s="21"/>
      <c r="J46" s="21"/>
      <c r="K46" s="21"/>
      <c r="L46" s="21" t="s">
        <v>134</v>
      </c>
      <c r="M46" s="21"/>
      <c r="N46" s="21"/>
      <c r="O46" s="21"/>
      <c r="P46" s="21"/>
      <c r="Q46" s="12" t="s">
        <v>296</v>
      </c>
      <c r="R46" s="12"/>
      <c r="S46" s="12"/>
      <c r="T46" s="12" t="s">
        <v>138</v>
      </c>
      <c r="U46" s="12" t="s">
        <v>297</v>
      </c>
      <c r="V46" s="12" t="s">
        <v>941</v>
      </c>
      <c r="W46" s="12">
        <v>2024</v>
      </c>
      <c r="X46" s="12">
        <v>2020</v>
      </c>
      <c r="Y46" s="12">
        <v>2024</v>
      </c>
      <c r="Z46" s="12" t="s">
        <v>140</v>
      </c>
      <c r="AA46" s="12" t="s">
        <v>942</v>
      </c>
      <c r="AB46" s="12" t="s">
        <v>150</v>
      </c>
      <c r="AC46" s="12"/>
      <c r="AD46" s="12" t="s">
        <v>134</v>
      </c>
      <c r="AE46" s="12" t="s">
        <v>976</v>
      </c>
      <c r="AF46" s="12" t="s">
        <v>142</v>
      </c>
      <c r="AG46" s="12" t="s">
        <v>628</v>
      </c>
    </row>
    <row r="47" spans="1:33" ht="130" x14ac:dyDescent="0.2">
      <c r="A47" s="10" t="s">
        <v>189</v>
      </c>
      <c r="B47" s="10" t="s">
        <v>123</v>
      </c>
      <c r="C47" s="10" t="s">
        <v>565</v>
      </c>
      <c r="D47" s="10" t="s">
        <v>903</v>
      </c>
      <c r="E47" s="10" t="s">
        <v>904</v>
      </c>
      <c r="F47" s="10" t="s">
        <v>564</v>
      </c>
      <c r="G47" s="21"/>
      <c r="H47" s="21"/>
      <c r="I47" s="21" t="s">
        <v>134</v>
      </c>
      <c r="J47" s="21"/>
      <c r="K47" s="21"/>
      <c r="L47" s="21"/>
      <c r="M47" s="21"/>
      <c r="N47" s="21" t="s">
        <v>134</v>
      </c>
      <c r="O47" s="21"/>
      <c r="P47" s="21"/>
      <c r="Q47" s="10" t="s">
        <v>275</v>
      </c>
      <c r="R47" s="10"/>
      <c r="S47" s="10"/>
      <c r="T47" s="10" t="s">
        <v>274</v>
      </c>
      <c r="U47" s="10"/>
      <c r="V47" s="10" t="s">
        <v>943</v>
      </c>
      <c r="W47" s="10">
        <v>2025</v>
      </c>
      <c r="X47" s="10">
        <v>2019</v>
      </c>
      <c r="Y47" s="10">
        <v>2022</v>
      </c>
      <c r="Z47" s="10" t="s">
        <v>140</v>
      </c>
      <c r="AA47" s="10" t="s">
        <v>944</v>
      </c>
      <c r="AB47" s="10" t="s">
        <v>134</v>
      </c>
      <c r="AC47" s="10" t="s">
        <v>977</v>
      </c>
      <c r="AD47" s="10" t="s">
        <v>134</v>
      </c>
      <c r="AE47" s="10" t="s">
        <v>977</v>
      </c>
      <c r="AF47" s="10"/>
      <c r="AG47" s="10" t="s">
        <v>138</v>
      </c>
    </row>
    <row r="48" spans="1:33" ht="117" x14ac:dyDescent="0.2">
      <c r="A48" s="12" t="s">
        <v>190</v>
      </c>
      <c r="B48" s="30" t="s">
        <v>123</v>
      </c>
      <c r="C48" s="12" t="s">
        <v>566</v>
      </c>
      <c r="D48" s="12" t="s">
        <v>905</v>
      </c>
      <c r="E48" s="12" t="s">
        <v>906</v>
      </c>
      <c r="F48" s="12" t="s">
        <v>567</v>
      </c>
      <c r="G48" s="21"/>
      <c r="H48" s="21" t="s">
        <v>134</v>
      </c>
      <c r="I48" s="21"/>
      <c r="J48" s="21"/>
      <c r="K48" s="21"/>
      <c r="L48" s="21"/>
      <c r="M48" s="21"/>
      <c r="N48" s="21" t="s">
        <v>134</v>
      </c>
      <c r="O48" s="21"/>
      <c r="P48" s="21"/>
      <c r="Q48" s="12" t="s">
        <v>138</v>
      </c>
      <c r="R48" s="12" t="s">
        <v>296</v>
      </c>
      <c r="S48" s="12" t="s">
        <v>945</v>
      </c>
      <c r="T48" s="12" t="s">
        <v>260</v>
      </c>
      <c r="U48" s="12"/>
      <c r="V48" s="12" t="s">
        <v>946</v>
      </c>
      <c r="W48" s="12">
        <v>2025</v>
      </c>
      <c r="X48" s="12">
        <v>2000</v>
      </c>
      <c r="Y48" s="12">
        <v>2020</v>
      </c>
      <c r="Z48" s="12" t="s">
        <v>140</v>
      </c>
      <c r="AA48" s="12" t="s">
        <v>787</v>
      </c>
      <c r="AB48" s="12" t="s">
        <v>150</v>
      </c>
      <c r="AC48" s="12"/>
      <c r="AD48" s="12" t="s">
        <v>134</v>
      </c>
      <c r="AE48" s="12" t="s">
        <v>978</v>
      </c>
      <c r="AF48" s="12" t="s">
        <v>150</v>
      </c>
      <c r="AG48" s="12" t="s">
        <v>138</v>
      </c>
    </row>
    <row r="49" spans="1:33" ht="143" x14ac:dyDescent="0.2">
      <c r="A49" s="10" t="s">
        <v>191</v>
      </c>
      <c r="B49" s="10" t="s">
        <v>123</v>
      </c>
      <c r="C49" s="10" t="s">
        <v>568</v>
      </c>
      <c r="D49" s="10" t="s">
        <v>907</v>
      </c>
      <c r="E49" s="10" t="s">
        <v>908</v>
      </c>
      <c r="F49" s="10" t="s">
        <v>569</v>
      </c>
      <c r="G49" s="21"/>
      <c r="H49" s="21"/>
      <c r="I49" s="21" t="s">
        <v>134</v>
      </c>
      <c r="J49" s="21" t="s">
        <v>134</v>
      </c>
      <c r="K49" s="21"/>
      <c r="L49" s="21"/>
      <c r="M49" s="21"/>
      <c r="N49" s="21"/>
      <c r="O49" s="21"/>
      <c r="P49" s="21"/>
      <c r="Q49" s="10" t="s">
        <v>72</v>
      </c>
      <c r="R49" s="10" t="s">
        <v>296</v>
      </c>
      <c r="S49" s="10"/>
      <c r="T49" s="10" t="s">
        <v>274</v>
      </c>
      <c r="U49" s="10" t="s">
        <v>297</v>
      </c>
      <c r="V49" s="10" t="s">
        <v>947</v>
      </c>
      <c r="W49" s="10">
        <v>2025</v>
      </c>
      <c r="X49" s="10">
        <v>2021</v>
      </c>
      <c r="Y49" s="10">
        <v>2023</v>
      </c>
      <c r="Z49" s="10" t="s">
        <v>143</v>
      </c>
      <c r="AA49" s="10" t="s">
        <v>948</v>
      </c>
      <c r="AB49" s="10" t="s">
        <v>150</v>
      </c>
      <c r="AC49" s="10"/>
      <c r="AD49" s="10" t="s">
        <v>134</v>
      </c>
      <c r="AE49" s="10" t="s">
        <v>979</v>
      </c>
      <c r="AF49" s="10" t="s">
        <v>150</v>
      </c>
      <c r="AG49" s="10" t="s">
        <v>138</v>
      </c>
    </row>
    <row r="50" spans="1:33" ht="156" x14ac:dyDescent="0.2">
      <c r="A50" s="12" t="s">
        <v>192</v>
      </c>
      <c r="B50" s="30" t="s">
        <v>123</v>
      </c>
      <c r="C50" s="12" t="s">
        <v>571</v>
      </c>
      <c r="D50" s="12" t="s">
        <v>909</v>
      </c>
      <c r="E50" s="12" t="s">
        <v>910</v>
      </c>
      <c r="F50" s="12" t="s">
        <v>570</v>
      </c>
      <c r="G50" s="21"/>
      <c r="H50" s="21"/>
      <c r="I50" s="21"/>
      <c r="J50" s="21"/>
      <c r="K50" s="21" t="s">
        <v>134</v>
      </c>
      <c r="L50" s="21"/>
      <c r="M50" s="21"/>
      <c r="N50" s="21"/>
      <c r="O50" s="21"/>
      <c r="P50" s="21"/>
      <c r="Q50" s="12" t="s">
        <v>138</v>
      </c>
      <c r="R50" s="12" t="s">
        <v>296</v>
      </c>
      <c r="S50" s="12" t="s">
        <v>949</v>
      </c>
      <c r="T50" s="12" t="s">
        <v>297</v>
      </c>
      <c r="U50" s="12"/>
      <c r="V50" s="12" t="s">
        <v>950</v>
      </c>
      <c r="W50" s="12">
        <v>2025</v>
      </c>
      <c r="X50" s="12">
        <v>2020</v>
      </c>
      <c r="Y50" s="12">
        <v>2022</v>
      </c>
      <c r="Z50" s="12" t="s">
        <v>140</v>
      </c>
      <c r="AA50" s="12" t="s">
        <v>951</v>
      </c>
      <c r="AB50" s="12" t="s">
        <v>150</v>
      </c>
      <c r="AC50" s="12"/>
      <c r="AD50" s="12" t="s">
        <v>134</v>
      </c>
      <c r="AE50" s="12" t="s">
        <v>980</v>
      </c>
      <c r="AF50" s="12" t="s">
        <v>150</v>
      </c>
      <c r="AG50" s="12" t="s">
        <v>138</v>
      </c>
    </row>
    <row r="51" spans="1:33" ht="130" x14ac:dyDescent="0.2">
      <c r="A51" s="10" t="s">
        <v>193</v>
      </c>
      <c r="B51" s="10" t="s">
        <v>123</v>
      </c>
      <c r="C51" s="10" t="s">
        <v>572</v>
      </c>
      <c r="D51" s="10" t="s">
        <v>911</v>
      </c>
      <c r="E51" s="10" t="s">
        <v>912</v>
      </c>
      <c r="F51" s="10" t="s">
        <v>573</v>
      </c>
      <c r="G51" s="21"/>
      <c r="H51" s="21" t="s">
        <v>134</v>
      </c>
      <c r="I51" s="21"/>
      <c r="J51" s="21"/>
      <c r="K51" s="21"/>
      <c r="L51" s="21"/>
      <c r="M51" s="21"/>
      <c r="N51" s="21"/>
      <c r="O51" s="21"/>
      <c r="P51" s="21"/>
      <c r="Q51" s="10" t="s">
        <v>296</v>
      </c>
      <c r="R51" s="10"/>
      <c r="S51" s="10"/>
      <c r="T51" s="10" t="s">
        <v>260</v>
      </c>
      <c r="U51" s="10" t="s">
        <v>138</v>
      </c>
      <c r="V51" s="10" t="s">
        <v>952</v>
      </c>
      <c r="W51" s="10">
        <v>2025</v>
      </c>
      <c r="X51" s="10">
        <v>2000</v>
      </c>
      <c r="Y51" s="10">
        <v>2021</v>
      </c>
      <c r="Z51" s="10" t="s">
        <v>140</v>
      </c>
      <c r="AA51" s="10" t="s">
        <v>953</v>
      </c>
      <c r="AB51" s="10" t="s">
        <v>142</v>
      </c>
      <c r="AC51" s="10" t="s">
        <v>981</v>
      </c>
      <c r="AD51" s="10" t="s">
        <v>134</v>
      </c>
      <c r="AE51" s="10" t="s">
        <v>981</v>
      </c>
      <c r="AF51" s="10" t="s">
        <v>142</v>
      </c>
      <c r="AG51" s="10" t="s">
        <v>141</v>
      </c>
    </row>
    <row r="52" spans="1:33" ht="156" x14ac:dyDescent="0.2">
      <c r="A52" s="12" t="s">
        <v>194</v>
      </c>
      <c r="B52" s="30" t="s">
        <v>123</v>
      </c>
      <c r="C52" s="12" t="s">
        <v>575</v>
      </c>
      <c r="D52" s="12" t="s">
        <v>913</v>
      </c>
      <c r="E52" s="12" t="s">
        <v>914</v>
      </c>
      <c r="F52" s="12" t="s">
        <v>574</v>
      </c>
      <c r="G52" s="21"/>
      <c r="H52" s="21" t="s">
        <v>134</v>
      </c>
      <c r="I52" s="21"/>
      <c r="J52" s="21"/>
      <c r="K52" s="21"/>
      <c r="L52" s="21" t="s">
        <v>134</v>
      </c>
      <c r="M52" s="21" t="s">
        <v>134</v>
      </c>
      <c r="N52" s="21"/>
      <c r="O52" s="21"/>
      <c r="P52" s="21"/>
      <c r="Q52" s="12" t="s">
        <v>296</v>
      </c>
      <c r="R52" s="12"/>
      <c r="S52" s="12"/>
      <c r="T52" s="12" t="s">
        <v>138</v>
      </c>
      <c r="U52" s="12" t="s">
        <v>297</v>
      </c>
      <c r="V52" s="12" t="s">
        <v>954</v>
      </c>
      <c r="W52" s="12">
        <v>2025</v>
      </c>
      <c r="X52" s="12">
        <v>2005</v>
      </c>
      <c r="Y52" s="12">
        <v>2021</v>
      </c>
      <c r="Z52" s="12" t="s">
        <v>140</v>
      </c>
      <c r="AA52" s="12" t="s">
        <v>955</v>
      </c>
      <c r="AB52" s="12" t="s">
        <v>142</v>
      </c>
      <c r="AC52" s="12" t="s">
        <v>982</v>
      </c>
      <c r="AD52" s="12" t="s">
        <v>134</v>
      </c>
      <c r="AE52" s="12" t="s">
        <v>982</v>
      </c>
      <c r="AF52" s="12" t="s">
        <v>142</v>
      </c>
      <c r="AG52" s="12" t="s">
        <v>138</v>
      </c>
    </row>
    <row r="53" spans="1:33" ht="130" x14ac:dyDescent="0.2">
      <c r="A53" s="10" t="s">
        <v>195</v>
      </c>
      <c r="B53" s="10" t="s">
        <v>123</v>
      </c>
      <c r="C53" s="10" t="s">
        <v>577</v>
      </c>
      <c r="D53" s="10" t="s">
        <v>915</v>
      </c>
      <c r="E53" s="10" t="s">
        <v>916</v>
      </c>
      <c r="F53" s="10" t="s">
        <v>576</v>
      </c>
      <c r="G53" s="21"/>
      <c r="H53" s="21"/>
      <c r="I53" s="21" t="s">
        <v>134</v>
      </c>
      <c r="J53" s="21"/>
      <c r="K53" s="21"/>
      <c r="L53" s="21"/>
      <c r="M53" s="21"/>
      <c r="N53" s="21" t="s">
        <v>134</v>
      </c>
      <c r="O53" s="21"/>
      <c r="P53" s="21"/>
      <c r="Q53" s="10" t="s">
        <v>296</v>
      </c>
      <c r="R53" s="10"/>
      <c r="S53" s="10"/>
      <c r="T53" s="10" t="s">
        <v>274</v>
      </c>
      <c r="U53" s="10" t="s">
        <v>260</v>
      </c>
      <c r="V53" s="10" t="s">
        <v>956</v>
      </c>
      <c r="W53" s="10">
        <v>2025</v>
      </c>
      <c r="X53" s="10">
        <v>2009</v>
      </c>
      <c r="Y53" s="10">
        <v>2017</v>
      </c>
      <c r="Z53" s="10" t="s">
        <v>143</v>
      </c>
      <c r="AA53" s="10" t="s">
        <v>957</v>
      </c>
      <c r="AB53" s="10" t="s">
        <v>150</v>
      </c>
      <c r="AC53" s="10"/>
      <c r="AD53" s="10" t="s">
        <v>134</v>
      </c>
      <c r="AE53" s="10" t="s">
        <v>983</v>
      </c>
      <c r="AF53" s="10" t="s">
        <v>142</v>
      </c>
      <c r="AG53" s="10" t="s">
        <v>387</v>
      </c>
    </row>
    <row r="54" spans="1:33" ht="117" x14ac:dyDescent="0.2">
      <c r="A54" s="12" t="s">
        <v>196</v>
      </c>
      <c r="B54" s="30" t="s">
        <v>123</v>
      </c>
      <c r="C54" s="12" t="s">
        <v>578</v>
      </c>
      <c r="D54" s="12" t="s">
        <v>917</v>
      </c>
      <c r="E54" s="12" t="s">
        <v>918</v>
      </c>
      <c r="F54" s="12" t="s">
        <v>579</v>
      </c>
      <c r="G54" s="21"/>
      <c r="H54" s="21"/>
      <c r="I54" s="21" t="s">
        <v>134</v>
      </c>
      <c r="J54" s="21"/>
      <c r="K54" s="21"/>
      <c r="L54" s="21" t="s">
        <v>134</v>
      </c>
      <c r="M54" s="21"/>
      <c r="N54" s="21"/>
      <c r="O54" s="21"/>
      <c r="P54" s="21"/>
      <c r="Q54" s="12" t="s">
        <v>296</v>
      </c>
      <c r="R54" s="12"/>
      <c r="S54" s="12"/>
      <c r="T54" s="12" t="s">
        <v>297</v>
      </c>
      <c r="U54" s="12" t="s">
        <v>297</v>
      </c>
      <c r="V54" s="12" t="s">
        <v>958</v>
      </c>
      <c r="W54" s="12">
        <v>2025</v>
      </c>
      <c r="X54" s="12">
        <v>2016</v>
      </c>
      <c r="Y54" s="12">
        <v>2021</v>
      </c>
      <c r="Z54" s="12" t="s">
        <v>140</v>
      </c>
      <c r="AA54" s="12" t="s">
        <v>959</v>
      </c>
      <c r="AB54" s="12" t="s">
        <v>150</v>
      </c>
      <c r="AC54" s="12"/>
      <c r="AD54" s="12" t="s">
        <v>134</v>
      </c>
      <c r="AE54" s="12" t="s">
        <v>984</v>
      </c>
      <c r="AF54" s="12" t="s">
        <v>150</v>
      </c>
      <c r="AG54" s="12" t="s">
        <v>138</v>
      </c>
    </row>
    <row r="55" spans="1:33" ht="117" x14ac:dyDescent="0.2">
      <c r="A55" s="10" t="s">
        <v>197</v>
      </c>
      <c r="B55" s="10" t="s">
        <v>123</v>
      </c>
      <c r="C55" s="10" t="s">
        <v>581</v>
      </c>
      <c r="D55" s="10" t="s">
        <v>919</v>
      </c>
      <c r="E55" s="10" t="s">
        <v>920</v>
      </c>
      <c r="F55" s="10" t="s">
        <v>580</v>
      </c>
      <c r="G55" s="21"/>
      <c r="H55" s="21" t="s">
        <v>134</v>
      </c>
      <c r="I55" s="21"/>
      <c r="J55" s="21" t="s">
        <v>134</v>
      </c>
      <c r="K55" s="21"/>
      <c r="L55" s="21"/>
      <c r="M55" s="21"/>
      <c r="N55" s="21"/>
      <c r="O55" s="21"/>
      <c r="P55" s="21"/>
      <c r="Q55" s="10" t="s">
        <v>296</v>
      </c>
      <c r="R55" s="10"/>
      <c r="S55" s="10"/>
      <c r="T55" s="10" t="s">
        <v>260</v>
      </c>
      <c r="U55" s="10" t="s">
        <v>297</v>
      </c>
      <c r="V55" s="10" t="s">
        <v>960</v>
      </c>
      <c r="W55" s="10">
        <v>2025</v>
      </c>
      <c r="X55" s="10">
        <v>2023</v>
      </c>
      <c r="Y55" s="10">
        <v>2023</v>
      </c>
      <c r="Z55" s="10" t="s">
        <v>143</v>
      </c>
      <c r="AA55" s="10" t="s">
        <v>961</v>
      </c>
      <c r="AB55" s="10" t="s">
        <v>142</v>
      </c>
      <c r="AC55" s="10" t="s">
        <v>985</v>
      </c>
      <c r="AD55" s="10" t="s">
        <v>134</v>
      </c>
      <c r="AE55" s="10" t="s">
        <v>985</v>
      </c>
      <c r="AF55" s="10" t="s">
        <v>142</v>
      </c>
      <c r="AG55" s="10" t="s">
        <v>387</v>
      </c>
    </row>
    <row r="56" spans="1:33" ht="104" x14ac:dyDescent="0.2">
      <c r="A56" s="12" t="s">
        <v>198</v>
      </c>
      <c r="B56" s="30" t="s">
        <v>123</v>
      </c>
      <c r="C56" s="12" t="s">
        <v>582</v>
      </c>
      <c r="D56" s="12" t="s">
        <v>921</v>
      </c>
      <c r="E56" s="12" t="s">
        <v>922</v>
      </c>
      <c r="F56" s="12" t="s">
        <v>583</v>
      </c>
      <c r="G56" s="21"/>
      <c r="H56" s="21" t="s">
        <v>134</v>
      </c>
      <c r="I56" s="21"/>
      <c r="J56" s="21"/>
      <c r="K56" s="21"/>
      <c r="L56" s="21"/>
      <c r="M56" s="21"/>
      <c r="N56" s="21"/>
      <c r="O56" s="21"/>
      <c r="P56" s="21" t="s">
        <v>1020</v>
      </c>
      <c r="Q56" s="12" t="s">
        <v>296</v>
      </c>
      <c r="R56" s="12"/>
      <c r="S56" s="12"/>
      <c r="T56" s="12" t="s">
        <v>138</v>
      </c>
      <c r="U56" s="12" t="s">
        <v>90</v>
      </c>
      <c r="V56" s="12" t="s">
        <v>962</v>
      </c>
      <c r="W56" s="12">
        <v>2026</v>
      </c>
      <c r="X56" s="12">
        <v>2009</v>
      </c>
      <c r="Y56" s="12">
        <v>2019</v>
      </c>
      <c r="Z56" s="12" t="s">
        <v>622</v>
      </c>
      <c r="AA56" s="12"/>
      <c r="AB56" s="12" t="s">
        <v>150</v>
      </c>
      <c r="AC56" s="12"/>
      <c r="AD56" s="12" t="s">
        <v>150</v>
      </c>
      <c r="AE56" s="12"/>
      <c r="AF56" s="12" t="s">
        <v>142</v>
      </c>
      <c r="AG56" s="12" t="s">
        <v>141</v>
      </c>
    </row>
    <row r="57" spans="1:33" ht="130" x14ac:dyDescent="0.2">
      <c r="A57" s="10" t="s">
        <v>199</v>
      </c>
      <c r="B57" s="10" t="s">
        <v>123</v>
      </c>
      <c r="C57" s="10" t="s">
        <v>584</v>
      </c>
      <c r="D57" s="10" t="s">
        <v>923</v>
      </c>
      <c r="E57" s="10" t="s">
        <v>924</v>
      </c>
      <c r="F57" s="10" t="s">
        <v>585</v>
      </c>
      <c r="G57" s="21"/>
      <c r="H57" s="21"/>
      <c r="I57" s="21"/>
      <c r="J57" s="21"/>
      <c r="K57" s="21"/>
      <c r="L57" s="21" t="s">
        <v>134</v>
      </c>
      <c r="M57" s="21"/>
      <c r="N57" s="21"/>
      <c r="O57" s="21"/>
      <c r="P57" s="21"/>
      <c r="Q57" s="10" t="s">
        <v>296</v>
      </c>
      <c r="R57" s="10"/>
      <c r="S57" s="10" t="s">
        <v>963</v>
      </c>
      <c r="T57" s="10" t="s">
        <v>260</v>
      </c>
      <c r="U57" s="10" t="s">
        <v>138</v>
      </c>
      <c r="V57" s="10" t="s">
        <v>964</v>
      </c>
      <c r="W57" s="10">
        <v>2026</v>
      </c>
      <c r="X57" s="10">
        <v>2009</v>
      </c>
      <c r="Y57" s="10">
        <v>2023</v>
      </c>
      <c r="Z57" s="10" t="s">
        <v>139</v>
      </c>
      <c r="AA57" s="10" t="s">
        <v>965</v>
      </c>
      <c r="AB57" s="10" t="s">
        <v>150</v>
      </c>
      <c r="AC57" s="10"/>
      <c r="AD57" s="10" t="s">
        <v>134</v>
      </c>
      <c r="AE57" s="10" t="s">
        <v>986</v>
      </c>
      <c r="AF57" s="10" t="s">
        <v>142</v>
      </c>
      <c r="AG57" s="10" t="s">
        <v>628</v>
      </c>
    </row>
    <row r="58" spans="1:33" ht="169" x14ac:dyDescent="0.2">
      <c r="A58" s="12" t="s">
        <v>200</v>
      </c>
      <c r="B58" s="30" t="s">
        <v>123</v>
      </c>
      <c r="C58" s="12" t="s">
        <v>586</v>
      </c>
      <c r="D58" s="12" t="s">
        <v>925</v>
      </c>
      <c r="E58" s="12" t="s">
        <v>926</v>
      </c>
      <c r="F58" s="12" t="s">
        <v>587</v>
      </c>
      <c r="G58" s="21"/>
      <c r="H58" s="21" t="s">
        <v>134</v>
      </c>
      <c r="I58" s="21"/>
      <c r="J58" s="21"/>
      <c r="K58" s="21"/>
      <c r="L58" s="21"/>
      <c r="M58" s="21" t="s">
        <v>134</v>
      </c>
      <c r="N58" s="21"/>
      <c r="O58" s="21"/>
      <c r="P58" s="21"/>
      <c r="Q58" s="12" t="s">
        <v>296</v>
      </c>
      <c r="R58" s="12"/>
      <c r="S58" s="12"/>
      <c r="T58" s="12" t="s">
        <v>92</v>
      </c>
      <c r="U58" s="12" t="s">
        <v>297</v>
      </c>
      <c r="V58" s="12" t="s">
        <v>966</v>
      </c>
      <c r="W58" s="12">
        <v>2026</v>
      </c>
      <c r="X58" s="12">
        <v>2008</v>
      </c>
      <c r="Y58" s="12">
        <v>2020</v>
      </c>
      <c r="Z58" s="12" t="s">
        <v>139</v>
      </c>
      <c r="AA58" s="12" t="s">
        <v>967</v>
      </c>
      <c r="AB58" s="12" t="s">
        <v>1019</v>
      </c>
      <c r="AC58" s="12" t="s">
        <v>968</v>
      </c>
      <c r="AD58" s="12" t="s">
        <v>134</v>
      </c>
      <c r="AE58" s="12" t="s">
        <v>987</v>
      </c>
      <c r="AF58" s="12" t="s">
        <v>142</v>
      </c>
      <c r="AG58" s="12" t="s">
        <v>628</v>
      </c>
    </row>
    <row r="59" spans="1:33" ht="143" x14ac:dyDescent="0.2">
      <c r="A59" s="10" t="s">
        <v>201</v>
      </c>
      <c r="B59" s="10" t="s">
        <v>125</v>
      </c>
      <c r="C59" s="10" t="s">
        <v>310</v>
      </c>
      <c r="D59" s="10" t="s">
        <v>407</v>
      </c>
      <c r="E59" s="10" t="s">
        <v>408</v>
      </c>
      <c r="F59" s="10" t="s">
        <v>311</v>
      </c>
      <c r="G59" s="21"/>
      <c r="H59" s="21"/>
      <c r="I59" s="21" t="s">
        <v>134</v>
      </c>
      <c r="J59" s="21" t="s">
        <v>134</v>
      </c>
      <c r="K59" s="21"/>
      <c r="L59" s="21"/>
      <c r="M59" s="21" t="s">
        <v>134</v>
      </c>
      <c r="N59" s="21" t="s">
        <v>134</v>
      </c>
      <c r="O59" s="21"/>
      <c r="P59" s="21"/>
      <c r="Q59" s="10" t="s">
        <v>296</v>
      </c>
      <c r="R59" s="10"/>
      <c r="S59" s="10"/>
      <c r="T59" s="10" t="s">
        <v>297</v>
      </c>
      <c r="U59" s="10" t="s">
        <v>260</v>
      </c>
      <c r="V59" s="10" t="s">
        <v>409</v>
      </c>
      <c r="W59" s="10">
        <v>2022</v>
      </c>
      <c r="X59" s="10">
        <v>2007</v>
      </c>
      <c r="Y59" s="10">
        <v>2016</v>
      </c>
      <c r="Z59" s="10" t="s">
        <v>140</v>
      </c>
      <c r="AA59" s="10" t="s">
        <v>410</v>
      </c>
      <c r="AB59" s="10" t="s">
        <v>150</v>
      </c>
      <c r="AC59" s="10"/>
      <c r="AD59" s="10" t="s">
        <v>150</v>
      </c>
      <c r="AE59" s="10"/>
      <c r="AF59" s="10" t="s">
        <v>150</v>
      </c>
      <c r="AG59" s="10"/>
    </row>
    <row r="60" spans="1:33" ht="117" x14ac:dyDescent="0.2">
      <c r="A60" s="12" t="s">
        <v>202</v>
      </c>
      <c r="B60" s="30" t="s">
        <v>125</v>
      </c>
      <c r="C60" s="12" t="s">
        <v>312</v>
      </c>
      <c r="D60" s="12" t="s">
        <v>411</v>
      </c>
      <c r="E60" s="12" t="s">
        <v>412</v>
      </c>
      <c r="F60" s="12" t="s">
        <v>313</v>
      </c>
      <c r="G60" s="21"/>
      <c r="H60" s="21" t="s">
        <v>134</v>
      </c>
      <c r="I60" s="21"/>
      <c r="J60" s="21" t="s">
        <v>134</v>
      </c>
      <c r="K60" s="21"/>
      <c r="L60" s="21"/>
      <c r="M60" s="21"/>
      <c r="N60" s="21"/>
      <c r="O60" s="21"/>
      <c r="P60" s="21"/>
      <c r="Q60" s="12" t="s">
        <v>138</v>
      </c>
      <c r="R60" s="12" t="s">
        <v>296</v>
      </c>
      <c r="S60" s="12" t="s">
        <v>406</v>
      </c>
      <c r="T60" s="12" t="s">
        <v>260</v>
      </c>
      <c r="U60" s="12" t="s">
        <v>297</v>
      </c>
      <c r="V60" s="12" t="s">
        <v>413</v>
      </c>
      <c r="W60" s="12">
        <v>2022</v>
      </c>
      <c r="X60" s="12">
        <v>2007</v>
      </c>
      <c r="Y60" s="12">
        <v>2019</v>
      </c>
      <c r="Z60" s="12" t="s">
        <v>143</v>
      </c>
      <c r="AA60" s="12" t="s">
        <v>414</v>
      </c>
      <c r="AB60" s="12" t="s">
        <v>415</v>
      </c>
      <c r="AC60" s="12" t="s">
        <v>416</v>
      </c>
      <c r="AD60" s="12" t="s">
        <v>150</v>
      </c>
      <c r="AE60" s="12"/>
      <c r="AF60" s="12" t="s">
        <v>150</v>
      </c>
      <c r="AG60" s="12" t="s">
        <v>141</v>
      </c>
    </row>
    <row r="61" spans="1:33" ht="130" x14ac:dyDescent="0.2">
      <c r="A61" s="10" t="s">
        <v>203</v>
      </c>
      <c r="B61" s="10" t="s">
        <v>125</v>
      </c>
      <c r="C61" s="10" t="s">
        <v>314</v>
      </c>
      <c r="D61" s="10" t="s">
        <v>417</v>
      </c>
      <c r="E61" s="10" t="s">
        <v>418</v>
      </c>
      <c r="F61" s="10" t="s">
        <v>315</v>
      </c>
      <c r="G61" s="21" t="s">
        <v>134</v>
      </c>
      <c r="H61" s="21"/>
      <c r="I61" s="21"/>
      <c r="J61" s="21"/>
      <c r="K61" s="21"/>
      <c r="L61" s="21"/>
      <c r="M61" s="21"/>
      <c r="N61" s="21"/>
      <c r="O61" s="21"/>
      <c r="P61" s="21"/>
      <c r="Q61" s="10" t="s">
        <v>296</v>
      </c>
      <c r="R61" s="10" t="s">
        <v>68</v>
      </c>
      <c r="S61" s="10"/>
      <c r="T61" s="10" t="s">
        <v>372</v>
      </c>
      <c r="U61" s="10" t="s">
        <v>92</v>
      </c>
      <c r="V61" s="10" t="s">
        <v>419</v>
      </c>
      <c r="W61" s="10">
        <v>2022</v>
      </c>
      <c r="X61" s="10">
        <v>2018</v>
      </c>
      <c r="Y61" s="10">
        <v>2020</v>
      </c>
      <c r="Z61" s="10" t="s">
        <v>143</v>
      </c>
      <c r="AA61" s="10" t="s">
        <v>420</v>
      </c>
      <c r="AB61" s="10" t="s">
        <v>1019</v>
      </c>
      <c r="AC61" s="10" t="s">
        <v>421</v>
      </c>
      <c r="AD61" s="10" t="s">
        <v>150</v>
      </c>
      <c r="AE61" s="10"/>
      <c r="AF61" s="10" t="s">
        <v>142</v>
      </c>
      <c r="AG61" s="10" t="s">
        <v>138</v>
      </c>
    </row>
    <row r="62" spans="1:33" ht="130" x14ac:dyDescent="0.2">
      <c r="A62" s="12" t="s">
        <v>204</v>
      </c>
      <c r="B62" s="30" t="s">
        <v>125</v>
      </c>
      <c r="C62" s="12" t="s">
        <v>316</v>
      </c>
      <c r="D62" s="12" t="s">
        <v>422</v>
      </c>
      <c r="E62" s="12" t="s">
        <v>423</v>
      </c>
      <c r="F62" s="12" t="s">
        <v>317</v>
      </c>
      <c r="G62" s="21"/>
      <c r="H62" s="21"/>
      <c r="I62" s="21" t="s">
        <v>134</v>
      </c>
      <c r="J62" s="21" t="s">
        <v>134</v>
      </c>
      <c r="K62" s="21"/>
      <c r="L62" s="21"/>
      <c r="M62" s="21"/>
      <c r="N62" s="21"/>
      <c r="O62" s="21"/>
      <c r="P62" s="21"/>
      <c r="Q62" s="12" t="s">
        <v>296</v>
      </c>
      <c r="R62" s="12" t="s">
        <v>70</v>
      </c>
      <c r="S62" s="12"/>
      <c r="T62" s="12" t="s">
        <v>297</v>
      </c>
      <c r="U62" s="12" t="s">
        <v>405</v>
      </c>
      <c r="V62" s="12" t="s">
        <v>424</v>
      </c>
      <c r="W62" s="12">
        <v>2022</v>
      </c>
      <c r="X62" s="12">
        <v>2006</v>
      </c>
      <c r="Y62" s="12">
        <v>2019</v>
      </c>
      <c r="Z62" s="12" t="s">
        <v>140</v>
      </c>
      <c r="AA62" s="12" t="s">
        <v>425</v>
      </c>
      <c r="AB62" s="12" t="s">
        <v>1019</v>
      </c>
      <c r="AC62" s="12" t="s">
        <v>426</v>
      </c>
      <c r="AD62" s="12" t="s">
        <v>150</v>
      </c>
      <c r="AE62" s="12"/>
      <c r="AF62" s="12" t="s">
        <v>142</v>
      </c>
      <c r="AG62" s="12" t="s">
        <v>138</v>
      </c>
    </row>
    <row r="63" spans="1:33" ht="169" x14ac:dyDescent="0.2">
      <c r="A63" s="10" t="s">
        <v>205</v>
      </c>
      <c r="B63" s="10" t="s">
        <v>125</v>
      </c>
      <c r="C63" s="10" t="s">
        <v>318</v>
      </c>
      <c r="D63" s="10" t="s">
        <v>427</v>
      </c>
      <c r="E63" s="10" t="s">
        <v>428</v>
      </c>
      <c r="F63" s="10" t="s">
        <v>319</v>
      </c>
      <c r="G63" s="21"/>
      <c r="H63" s="21"/>
      <c r="I63" s="21" t="s">
        <v>134</v>
      </c>
      <c r="J63" s="21" t="s">
        <v>134</v>
      </c>
      <c r="K63" s="21"/>
      <c r="L63" s="21"/>
      <c r="M63" s="21"/>
      <c r="N63" s="21"/>
      <c r="O63" s="21"/>
      <c r="P63" s="21"/>
      <c r="Q63" s="10" t="s">
        <v>296</v>
      </c>
      <c r="R63" s="10" t="s">
        <v>429</v>
      </c>
      <c r="S63" s="10"/>
      <c r="T63" s="10" t="s">
        <v>297</v>
      </c>
      <c r="U63" s="10"/>
      <c r="V63" s="10" t="s">
        <v>430</v>
      </c>
      <c r="W63" s="10">
        <v>2022</v>
      </c>
      <c r="X63" s="10" t="s">
        <v>432</v>
      </c>
      <c r="Y63" s="10" t="s">
        <v>432</v>
      </c>
      <c r="Z63" s="10" t="s">
        <v>140</v>
      </c>
      <c r="AA63" s="10" t="s">
        <v>431</v>
      </c>
      <c r="AB63" s="10" t="s">
        <v>150</v>
      </c>
      <c r="AC63" s="10"/>
      <c r="AD63" s="10" t="s">
        <v>150</v>
      </c>
      <c r="AE63" s="10"/>
      <c r="AF63" s="10" t="s">
        <v>150</v>
      </c>
      <c r="AG63" s="10" t="s">
        <v>141</v>
      </c>
    </row>
    <row r="64" spans="1:33" ht="143" x14ac:dyDescent="0.2">
      <c r="A64" s="12" t="s">
        <v>206</v>
      </c>
      <c r="B64" s="30" t="s">
        <v>125</v>
      </c>
      <c r="C64" s="12" t="s">
        <v>320</v>
      </c>
      <c r="D64" s="12" t="s">
        <v>433</v>
      </c>
      <c r="E64" s="12" t="s">
        <v>434</v>
      </c>
      <c r="F64" s="12" t="s">
        <v>321</v>
      </c>
      <c r="G64" s="21"/>
      <c r="H64" s="21"/>
      <c r="I64" s="21" t="s">
        <v>134</v>
      </c>
      <c r="J64" s="21" t="s">
        <v>134</v>
      </c>
      <c r="K64" s="21"/>
      <c r="L64" s="21"/>
      <c r="M64" s="21"/>
      <c r="N64" s="21"/>
      <c r="O64" s="21"/>
      <c r="P64" s="21"/>
      <c r="Q64" s="12" t="s">
        <v>296</v>
      </c>
      <c r="R64" s="12"/>
      <c r="S64" s="12"/>
      <c r="T64" s="12" t="s">
        <v>260</v>
      </c>
      <c r="U64" s="12" t="s">
        <v>297</v>
      </c>
      <c r="V64" s="12" t="s">
        <v>435</v>
      </c>
      <c r="W64" s="12">
        <v>2022</v>
      </c>
      <c r="X64" s="12">
        <v>2003</v>
      </c>
      <c r="Y64" s="12">
        <v>2017</v>
      </c>
      <c r="Z64" s="12" t="s">
        <v>140</v>
      </c>
      <c r="AA64" s="12" t="s">
        <v>436</v>
      </c>
      <c r="AB64" s="12" t="s">
        <v>415</v>
      </c>
      <c r="AC64" s="12" t="s">
        <v>437</v>
      </c>
      <c r="AD64" s="12" t="s">
        <v>150</v>
      </c>
      <c r="AE64" s="12"/>
      <c r="AF64" s="12" t="s">
        <v>142</v>
      </c>
      <c r="AG64" s="12" t="s">
        <v>387</v>
      </c>
    </row>
    <row r="65" spans="1:33" ht="182" x14ac:dyDescent="0.2">
      <c r="A65" s="10" t="s">
        <v>207</v>
      </c>
      <c r="B65" s="10" t="s">
        <v>125</v>
      </c>
      <c r="C65" s="10" t="s">
        <v>322</v>
      </c>
      <c r="D65" s="10" t="s">
        <v>438</v>
      </c>
      <c r="E65" s="10" t="s">
        <v>439</v>
      </c>
      <c r="F65" s="10" t="s">
        <v>1034</v>
      </c>
      <c r="G65" s="21"/>
      <c r="H65" s="21"/>
      <c r="I65" s="21" t="s">
        <v>134</v>
      </c>
      <c r="J65" s="21" t="s">
        <v>134</v>
      </c>
      <c r="K65" s="21"/>
      <c r="L65" s="21"/>
      <c r="M65" s="21" t="s">
        <v>134</v>
      </c>
      <c r="N65" s="21" t="s">
        <v>134</v>
      </c>
      <c r="O65" s="21" t="s">
        <v>134</v>
      </c>
      <c r="P65" s="21"/>
      <c r="Q65" s="10" t="s">
        <v>296</v>
      </c>
      <c r="R65" s="10"/>
      <c r="S65" s="10"/>
      <c r="T65" s="10" t="s">
        <v>92</v>
      </c>
      <c r="U65" s="10" t="s">
        <v>297</v>
      </c>
      <c r="V65" s="10" t="s">
        <v>440</v>
      </c>
      <c r="W65" s="10">
        <v>2023</v>
      </c>
      <c r="X65" s="10">
        <v>2010</v>
      </c>
      <c r="Y65" s="10">
        <v>2019</v>
      </c>
      <c r="Z65" s="10" t="s">
        <v>143</v>
      </c>
      <c r="AA65" s="10" t="s">
        <v>441</v>
      </c>
      <c r="AB65" s="10" t="s">
        <v>1019</v>
      </c>
      <c r="AC65" s="10" t="s">
        <v>442</v>
      </c>
      <c r="AD65" s="10" t="s">
        <v>150</v>
      </c>
      <c r="AE65" s="10"/>
      <c r="AF65" s="10" t="s">
        <v>142</v>
      </c>
      <c r="AG65" s="10" t="s">
        <v>141</v>
      </c>
    </row>
    <row r="66" spans="1:33" ht="156" x14ac:dyDescent="0.2">
      <c r="A66" s="12" t="s">
        <v>208</v>
      </c>
      <c r="B66" s="30" t="s">
        <v>125</v>
      </c>
      <c r="C66" s="12" t="s">
        <v>323</v>
      </c>
      <c r="D66" s="12" t="s">
        <v>443</v>
      </c>
      <c r="E66" s="12" t="s">
        <v>444</v>
      </c>
      <c r="F66" s="12" t="s">
        <v>324</v>
      </c>
      <c r="G66" s="21"/>
      <c r="H66" s="21" t="s">
        <v>134</v>
      </c>
      <c r="I66" s="21"/>
      <c r="J66" s="21"/>
      <c r="K66" s="21"/>
      <c r="L66" s="21"/>
      <c r="M66" s="21" t="s">
        <v>134</v>
      </c>
      <c r="N66" s="21"/>
      <c r="O66" s="21"/>
      <c r="P66" s="21"/>
      <c r="Q66" s="12" t="s">
        <v>296</v>
      </c>
      <c r="R66" s="12"/>
      <c r="S66" s="12"/>
      <c r="T66" s="12" t="s">
        <v>297</v>
      </c>
      <c r="U66" s="12" t="s">
        <v>260</v>
      </c>
      <c r="V66" s="12" t="s">
        <v>445</v>
      </c>
      <c r="W66" s="12">
        <v>2024</v>
      </c>
      <c r="X66" s="12">
        <v>2005</v>
      </c>
      <c r="Y66" s="12">
        <v>2019</v>
      </c>
      <c r="Z66" s="12" t="s">
        <v>140</v>
      </c>
      <c r="AA66" s="12" t="s">
        <v>446</v>
      </c>
      <c r="AB66" s="12" t="s">
        <v>150</v>
      </c>
      <c r="AC66" s="12"/>
      <c r="AD66" s="12" t="s">
        <v>150</v>
      </c>
      <c r="AE66" s="12"/>
      <c r="AF66" s="12" t="s">
        <v>150</v>
      </c>
      <c r="AG66" s="12" t="s">
        <v>141</v>
      </c>
    </row>
    <row r="67" spans="1:33" ht="156" x14ac:dyDescent="0.2">
      <c r="A67" s="10" t="s">
        <v>209</v>
      </c>
      <c r="B67" s="10" t="s">
        <v>125</v>
      </c>
      <c r="C67" s="10" t="s">
        <v>325</v>
      </c>
      <c r="D67" s="10" t="s">
        <v>447</v>
      </c>
      <c r="E67" s="10" t="s">
        <v>448</v>
      </c>
      <c r="F67" s="10" t="s">
        <v>326</v>
      </c>
      <c r="G67" s="21"/>
      <c r="H67" s="21" t="s">
        <v>134</v>
      </c>
      <c r="I67" s="21" t="s">
        <v>134</v>
      </c>
      <c r="J67" s="21" t="s">
        <v>134</v>
      </c>
      <c r="K67" s="21"/>
      <c r="L67" s="21"/>
      <c r="M67" s="21"/>
      <c r="N67" s="21" t="s">
        <v>134</v>
      </c>
      <c r="O67" s="21" t="s">
        <v>134</v>
      </c>
      <c r="P67" s="21"/>
      <c r="Q67" s="10" t="s">
        <v>296</v>
      </c>
      <c r="R67" s="10"/>
      <c r="S67" s="10"/>
      <c r="T67" s="10" t="s">
        <v>297</v>
      </c>
      <c r="U67" s="10" t="s">
        <v>260</v>
      </c>
      <c r="V67" s="10" t="s">
        <v>449</v>
      </c>
      <c r="W67" s="10">
        <v>2024</v>
      </c>
      <c r="X67" s="10">
        <v>2005</v>
      </c>
      <c r="Y67" s="10">
        <v>2019</v>
      </c>
      <c r="Z67" s="10" t="s">
        <v>140</v>
      </c>
      <c r="AA67" s="10" t="s">
        <v>450</v>
      </c>
      <c r="AB67" s="10" t="s">
        <v>150</v>
      </c>
      <c r="AC67" s="10"/>
      <c r="AD67" s="10" t="s">
        <v>150</v>
      </c>
      <c r="AE67" s="10"/>
      <c r="AF67" s="10" t="s">
        <v>150</v>
      </c>
      <c r="AG67" s="10" t="s">
        <v>141</v>
      </c>
    </row>
    <row r="68" spans="1:33" ht="130" x14ac:dyDescent="0.2">
      <c r="A68" s="12" t="s">
        <v>210</v>
      </c>
      <c r="B68" s="30" t="s">
        <v>125</v>
      </c>
      <c r="C68" s="12" t="s">
        <v>327</v>
      </c>
      <c r="D68" s="12" t="s">
        <v>451</v>
      </c>
      <c r="E68" s="12" t="s">
        <v>452</v>
      </c>
      <c r="F68" s="12" t="s">
        <v>328</v>
      </c>
      <c r="G68" s="21"/>
      <c r="H68" s="21" t="s">
        <v>134</v>
      </c>
      <c r="I68" s="21"/>
      <c r="J68" s="21"/>
      <c r="K68" s="21"/>
      <c r="L68" s="21"/>
      <c r="M68" s="21"/>
      <c r="N68" s="21"/>
      <c r="O68" s="21"/>
      <c r="P68" s="21"/>
      <c r="Q68" s="12" t="s">
        <v>296</v>
      </c>
      <c r="R68" s="12"/>
      <c r="S68" s="12"/>
      <c r="T68" s="12" t="s">
        <v>260</v>
      </c>
      <c r="U68" s="12" t="s">
        <v>297</v>
      </c>
      <c r="V68" s="12" t="s">
        <v>453</v>
      </c>
      <c r="W68" s="12">
        <v>2024</v>
      </c>
      <c r="X68" s="12">
        <v>2013</v>
      </c>
      <c r="Y68" s="12">
        <v>2021</v>
      </c>
      <c r="Z68" s="12" t="s">
        <v>140</v>
      </c>
      <c r="AA68" s="12" t="s">
        <v>1051</v>
      </c>
      <c r="AB68" s="12" t="s">
        <v>150</v>
      </c>
      <c r="AC68" s="12"/>
      <c r="AD68" s="12" t="s">
        <v>150</v>
      </c>
      <c r="AE68" s="12"/>
      <c r="AF68" s="12" t="s">
        <v>142</v>
      </c>
      <c r="AG68" s="12" t="s">
        <v>454</v>
      </c>
    </row>
    <row r="69" spans="1:33" ht="143" x14ac:dyDescent="0.2">
      <c r="A69" s="10" t="s">
        <v>211</v>
      </c>
      <c r="B69" s="10" t="s">
        <v>125</v>
      </c>
      <c r="C69" s="10" t="s">
        <v>329</v>
      </c>
      <c r="D69" s="10" t="s">
        <v>455</v>
      </c>
      <c r="E69" s="10" t="s">
        <v>456</v>
      </c>
      <c r="F69" s="10" t="s">
        <v>592</v>
      </c>
      <c r="G69" s="21"/>
      <c r="H69" s="21"/>
      <c r="I69" s="21" t="s">
        <v>134</v>
      </c>
      <c r="J69" s="21"/>
      <c r="K69" s="21"/>
      <c r="L69" s="21"/>
      <c r="M69" s="21"/>
      <c r="N69" s="21" t="s">
        <v>134</v>
      </c>
      <c r="O69" s="21" t="s">
        <v>134</v>
      </c>
      <c r="P69" s="21"/>
      <c r="Q69" s="10" t="s">
        <v>138</v>
      </c>
      <c r="R69" s="10"/>
      <c r="S69" s="10" t="s">
        <v>457</v>
      </c>
      <c r="T69" s="10" t="s">
        <v>138</v>
      </c>
      <c r="U69" s="10"/>
      <c r="V69" s="10" t="s">
        <v>458</v>
      </c>
      <c r="W69" s="10">
        <v>2024</v>
      </c>
      <c r="X69" s="10">
        <v>2018</v>
      </c>
      <c r="Y69" s="10">
        <v>2021</v>
      </c>
      <c r="Z69" s="10" t="s">
        <v>143</v>
      </c>
      <c r="AA69" s="10" t="s">
        <v>459</v>
      </c>
      <c r="AB69" s="10" t="s">
        <v>150</v>
      </c>
      <c r="AC69" s="10"/>
      <c r="AD69" s="10" t="s">
        <v>150</v>
      </c>
      <c r="AE69" s="10"/>
      <c r="AF69" s="10" t="s">
        <v>150</v>
      </c>
      <c r="AG69" s="10" t="s">
        <v>138</v>
      </c>
    </row>
    <row r="70" spans="1:33" ht="169" x14ac:dyDescent="0.2">
      <c r="A70" s="12" t="s">
        <v>212</v>
      </c>
      <c r="B70" s="30" t="s">
        <v>125</v>
      </c>
      <c r="C70" s="12" t="s">
        <v>330</v>
      </c>
      <c r="D70" s="12" t="s">
        <v>588</v>
      </c>
      <c r="E70" s="12" t="s">
        <v>589</v>
      </c>
      <c r="F70" s="12" t="s">
        <v>331</v>
      </c>
      <c r="G70" s="21"/>
      <c r="H70" s="21"/>
      <c r="I70" s="21"/>
      <c r="J70" s="21"/>
      <c r="K70" s="21" t="s">
        <v>134</v>
      </c>
      <c r="L70" s="21"/>
      <c r="M70" s="21" t="s">
        <v>134</v>
      </c>
      <c r="N70" s="21"/>
      <c r="O70" s="21"/>
      <c r="P70" s="21"/>
      <c r="Q70" s="12" t="s">
        <v>296</v>
      </c>
      <c r="R70" s="12"/>
      <c r="S70" s="12"/>
      <c r="T70" s="12" t="s">
        <v>297</v>
      </c>
      <c r="U70" s="12" t="s">
        <v>260</v>
      </c>
      <c r="V70" s="12" t="s">
        <v>590</v>
      </c>
      <c r="W70" s="12">
        <v>2024</v>
      </c>
      <c r="X70" s="12">
        <v>2018</v>
      </c>
      <c r="Y70" s="12">
        <v>2021</v>
      </c>
      <c r="Z70" s="12" t="s">
        <v>140</v>
      </c>
      <c r="AA70" s="12" t="s">
        <v>591</v>
      </c>
      <c r="AB70" s="12" t="s">
        <v>150</v>
      </c>
      <c r="AC70" s="12"/>
      <c r="AD70" s="12" t="s">
        <v>150</v>
      </c>
      <c r="AE70" s="12"/>
      <c r="AF70" s="12" t="s">
        <v>150</v>
      </c>
      <c r="AG70" s="12" t="s">
        <v>141</v>
      </c>
    </row>
    <row r="71" spans="1:33" ht="117" x14ac:dyDescent="0.2">
      <c r="A71" s="10" t="s">
        <v>213</v>
      </c>
      <c r="B71" s="10" t="s">
        <v>125</v>
      </c>
      <c r="C71" s="10" t="s">
        <v>332</v>
      </c>
      <c r="D71" s="10" t="s">
        <v>593</v>
      </c>
      <c r="E71" s="10" t="s">
        <v>594</v>
      </c>
      <c r="F71" s="10" t="s">
        <v>333</v>
      </c>
      <c r="G71" s="21"/>
      <c r="H71" s="21"/>
      <c r="I71" s="21" t="s">
        <v>134</v>
      </c>
      <c r="J71" s="21" t="s">
        <v>134</v>
      </c>
      <c r="K71" s="21"/>
      <c r="L71" s="21"/>
      <c r="M71" s="21"/>
      <c r="N71" s="21" t="s">
        <v>134</v>
      </c>
      <c r="O71" s="21"/>
      <c r="P71" s="21"/>
      <c r="Q71" s="10" t="s">
        <v>296</v>
      </c>
      <c r="R71" s="10"/>
      <c r="S71" s="10"/>
      <c r="T71" s="10" t="s">
        <v>405</v>
      </c>
      <c r="U71" s="10" t="s">
        <v>297</v>
      </c>
      <c r="V71" s="10" t="s">
        <v>595</v>
      </c>
      <c r="W71" s="10">
        <v>2024</v>
      </c>
      <c r="X71" s="10">
        <v>2011</v>
      </c>
      <c r="Y71" s="10">
        <v>2021</v>
      </c>
      <c r="Z71" s="10" t="s">
        <v>143</v>
      </c>
      <c r="AA71" s="10" t="s">
        <v>596</v>
      </c>
      <c r="AB71" s="10" t="s">
        <v>1019</v>
      </c>
      <c r="AC71" s="10" t="s">
        <v>597</v>
      </c>
      <c r="AD71" s="10" t="s">
        <v>150</v>
      </c>
      <c r="AE71" s="10"/>
      <c r="AF71" s="10" t="s">
        <v>142</v>
      </c>
      <c r="AG71" s="10" t="s">
        <v>387</v>
      </c>
    </row>
    <row r="72" spans="1:33" ht="130" x14ac:dyDescent="0.2">
      <c r="A72" s="12" t="s">
        <v>214</v>
      </c>
      <c r="B72" s="30" t="s">
        <v>125</v>
      </c>
      <c r="C72" s="12" t="s">
        <v>334</v>
      </c>
      <c r="D72" s="12" t="s">
        <v>598</v>
      </c>
      <c r="E72" s="12" t="s">
        <v>599</v>
      </c>
      <c r="F72" s="12" t="s">
        <v>335</v>
      </c>
      <c r="G72" s="21"/>
      <c r="H72" s="21"/>
      <c r="I72" s="21" t="s">
        <v>134</v>
      </c>
      <c r="J72" s="21" t="s">
        <v>134</v>
      </c>
      <c r="K72" s="21"/>
      <c r="L72" s="21"/>
      <c r="M72" s="21"/>
      <c r="N72" s="21" t="s">
        <v>134</v>
      </c>
      <c r="O72" s="21" t="s">
        <v>134</v>
      </c>
      <c r="P72" s="21"/>
      <c r="Q72" s="12" t="s">
        <v>296</v>
      </c>
      <c r="R72" s="12"/>
      <c r="S72" s="12"/>
      <c r="T72" s="12" t="s">
        <v>92</v>
      </c>
      <c r="U72" s="12" t="s">
        <v>297</v>
      </c>
      <c r="V72" s="12" t="s">
        <v>600</v>
      </c>
      <c r="W72" s="12">
        <v>2024</v>
      </c>
      <c r="X72" s="12">
        <v>2002</v>
      </c>
      <c r="Y72" s="12">
        <v>2021</v>
      </c>
      <c r="Z72" s="12" t="s">
        <v>143</v>
      </c>
      <c r="AA72" s="12" t="s">
        <v>601</v>
      </c>
      <c r="AB72" s="12" t="s">
        <v>1019</v>
      </c>
      <c r="AC72" s="12" t="s">
        <v>602</v>
      </c>
      <c r="AD72" s="12" t="s">
        <v>150</v>
      </c>
      <c r="AE72" s="12"/>
      <c r="AF72" s="12" t="s">
        <v>142</v>
      </c>
      <c r="AG72" s="12" t="s">
        <v>141</v>
      </c>
    </row>
    <row r="73" spans="1:33" ht="169" x14ac:dyDescent="0.2">
      <c r="A73" s="10" t="s">
        <v>215</v>
      </c>
      <c r="B73" s="10" t="s">
        <v>125</v>
      </c>
      <c r="C73" s="10" t="s">
        <v>336</v>
      </c>
      <c r="D73" s="10" t="s">
        <v>603</v>
      </c>
      <c r="E73" s="10" t="s">
        <v>604</v>
      </c>
      <c r="F73" s="10" t="s">
        <v>337</v>
      </c>
      <c r="G73" s="21" t="s">
        <v>134</v>
      </c>
      <c r="H73" s="21"/>
      <c r="I73" s="21" t="s">
        <v>134</v>
      </c>
      <c r="J73" s="21"/>
      <c r="K73" s="21"/>
      <c r="L73" s="21"/>
      <c r="M73" s="21"/>
      <c r="N73" s="21"/>
      <c r="O73" s="21"/>
      <c r="P73" s="21"/>
      <c r="Q73" s="10" t="s">
        <v>296</v>
      </c>
      <c r="R73" s="10"/>
      <c r="S73" s="10"/>
      <c r="T73" s="10" t="s">
        <v>405</v>
      </c>
      <c r="U73" s="10" t="s">
        <v>372</v>
      </c>
      <c r="V73" s="10" t="s">
        <v>605</v>
      </c>
      <c r="W73" s="10">
        <v>2025</v>
      </c>
      <c r="X73" s="10">
        <v>2006</v>
      </c>
      <c r="Y73" s="10">
        <v>2020</v>
      </c>
      <c r="Z73" s="10" t="s">
        <v>143</v>
      </c>
      <c r="AA73" s="10" t="s">
        <v>606</v>
      </c>
      <c r="AB73" s="10" t="s">
        <v>1019</v>
      </c>
      <c r="AC73" s="10" t="s">
        <v>607</v>
      </c>
      <c r="AD73" s="10" t="s">
        <v>150</v>
      </c>
      <c r="AE73" s="10"/>
      <c r="AF73" s="10" t="s">
        <v>142</v>
      </c>
      <c r="AG73" s="10" t="s">
        <v>387</v>
      </c>
    </row>
    <row r="74" spans="1:33" ht="117" x14ac:dyDescent="0.2">
      <c r="A74" s="12" t="s">
        <v>216</v>
      </c>
      <c r="B74" s="30" t="s">
        <v>125</v>
      </c>
      <c r="C74" s="12" t="s">
        <v>338</v>
      </c>
      <c r="D74" s="12" t="s">
        <v>608</v>
      </c>
      <c r="E74" s="12" t="s">
        <v>609</v>
      </c>
      <c r="F74" s="12" t="s">
        <v>339</v>
      </c>
      <c r="G74" s="21" t="s">
        <v>134</v>
      </c>
      <c r="H74" s="21"/>
      <c r="I74" s="21"/>
      <c r="J74" s="21"/>
      <c r="K74" s="21"/>
      <c r="L74" s="21"/>
      <c r="M74" s="21"/>
      <c r="N74" s="21" t="s">
        <v>134</v>
      </c>
      <c r="O74" s="21"/>
      <c r="P74" s="21"/>
      <c r="Q74" s="12" t="s">
        <v>296</v>
      </c>
      <c r="R74" s="12"/>
      <c r="S74" s="12"/>
      <c r="T74" s="12" t="s">
        <v>90</v>
      </c>
      <c r="U74" s="12" t="s">
        <v>260</v>
      </c>
      <c r="V74" s="12" t="s">
        <v>610</v>
      </c>
      <c r="W74" s="12">
        <v>2025</v>
      </c>
      <c r="X74" s="12">
        <v>2006</v>
      </c>
      <c r="Y74" s="12">
        <v>2018</v>
      </c>
      <c r="Z74" s="12" t="s">
        <v>140</v>
      </c>
      <c r="AA74" s="12" t="s">
        <v>611</v>
      </c>
      <c r="AB74" s="12" t="s">
        <v>150</v>
      </c>
      <c r="AC74" s="12"/>
      <c r="AD74" s="12" t="s">
        <v>150</v>
      </c>
      <c r="AE74" s="12"/>
      <c r="AF74" s="12" t="s">
        <v>142</v>
      </c>
      <c r="AG74" s="12" t="s">
        <v>138</v>
      </c>
    </row>
    <row r="75" spans="1:33" ht="130" x14ac:dyDescent="0.2">
      <c r="A75" s="10" t="s">
        <v>217</v>
      </c>
      <c r="B75" s="10" t="s">
        <v>125</v>
      </c>
      <c r="C75" s="10" t="s">
        <v>340</v>
      </c>
      <c r="D75" s="10" t="s">
        <v>612</v>
      </c>
      <c r="E75" s="10" t="s">
        <v>613</v>
      </c>
      <c r="F75" s="10" t="s">
        <v>341</v>
      </c>
      <c r="G75" s="21"/>
      <c r="H75" s="21" t="s">
        <v>134</v>
      </c>
      <c r="I75" s="21"/>
      <c r="J75" s="21"/>
      <c r="K75" s="21"/>
      <c r="L75" s="21" t="s">
        <v>134</v>
      </c>
      <c r="M75" s="21"/>
      <c r="N75" s="21"/>
      <c r="O75" s="21"/>
      <c r="P75" s="21"/>
      <c r="Q75" s="10" t="s">
        <v>138</v>
      </c>
      <c r="R75" s="10" t="s">
        <v>296</v>
      </c>
      <c r="S75" s="10" t="s">
        <v>614</v>
      </c>
      <c r="T75" s="10" t="s">
        <v>260</v>
      </c>
      <c r="U75" s="10" t="s">
        <v>92</v>
      </c>
      <c r="V75" s="10" t="s">
        <v>615</v>
      </c>
      <c r="W75" s="10">
        <v>2025</v>
      </c>
      <c r="X75" s="10">
        <v>2014</v>
      </c>
      <c r="Y75" s="10">
        <v>2021</v>
      </c>
      <c r="Z75" s="10" t="s">
        <v>140</v>
      </c>
      <c r="AA75" s="10" t="s">
        <v>616</v>
      </c>
      <c r="AB75" s="10" t="s">
        <v>150</v>
      </c>
      <c r="AC75" s="10"/>
      <c r="AD75" s="10" t="s">
        <v>150</v>
      </c>
      <c r="AE75" s="10"/>
      <c r="AF75" s="10" t="s">
        <v>150</v>
      </c>
      <c r="AG75" s="10" t="s">
        <v>454</v>
      </c>
    </row>
    <row r="76" spans="1:33" ht="169" x14ac:dyDescent="0.2">
      <c r="A76" s="12" t="s">
        <v>218</v>
      </c>
      <c r="B76" s="30" t="s">
        <v>125</v>
      </c>
      <c r="C76" s="12" t="s">
        <v>342</v>
      </c>
      <c r="D76" s="12" t="s">
        <v>617</v>
      </c>
      <c r="E76" s="12" t="s">
        <v>618</v>
      </c>
      <c r="F76" s="12" t="s">
        <v>343</v>
      </c>
      <c r="G76" s="21"/>
      <c r="H76" s="21"/>
      <c r="I76" s="21"/>
      <c r="J76" s="21"/>
      <c r="K76" s="21"/>
      <c r="L76" s="21"/>
      <c r="M76" s="21" t="s">
        <v>134</v>
      </c>
      <c r="N76" s="21"/>
      <c r="O76" s="21"/>
      <c r="P76" s="21"/>
      <c r="Q76" s="12" t="s">
        <v>296</v>
      </c>
      <c r="R76" s="12" t="s">
        <v>138</v>
      </c>
      <c r="S76" s="12" t="s">
        <v>619</v>
      </c>
      <c r="T76" s="12" t="s">
        <v>92</v>
      </c>
      <c r="U76" s="12" t="s">
        <v>260</v>
      </c>
      <c r="V76" s="12" t="s">
        <v>620</v>
      </c>
      <c r="W76" s="12">
        <v>2025</v>
      </c>
      <c r="X76" s="12">
        <v>2018</v>
      </c>
      <c r="Y76" s="12">
        <v>2024</v>
      </c>
      <c r="Z76" s="12" t="s">
        <v>622</v>
      </c>
      <c r="AA76" s="12" t="s">
        <v>621</v>
      </c>
      <c r="AB76" s="12" t="s">
        <v>415</v>
      </c>
      <c r="AC76" s="12" t="s">
        <v>623</v>
      </c>
      <c r="AD76" s="12" t="s">
        <v>150</v>
      </c>
      <c r="AE76" s="12"/>
      <c r="AF76" s="12" t="s">
        <v>142</v>
      </c>
      <c r="AG76" s="12" t="s">
        <v>141</v>
      </c>
    </row>
    <row r="77" spans="1:33" ht="143" x14ac:dyDescent="0.2">
      <c r="A77" s="10" t="s">
        <v>219</v>
      </c>
      <c r="B77" s="10" t="s">
        <v>125</v>
      </c>
      <c r="C77" s="10" t="s">
        <v>344</v>
      </c>
      <c r="D77" s="10" t="s">
        <v>624</v>
      </c>
      <c r="E77" s="10" t="s">
        <v>625</v>
      </c>
      <c r="F77" s="10" t="s">
        <v>345</v>
      </c>
      <c r="G77" s="21" t="s">
        <v>134</v>
      </c>
      <c r="H77" s="21"/>
      <c r="I77" s="21"/>
      <c r="J77" s="21"/>
      <c r="K77" s="21" t="s">
        <v>134</v>
      </c>
      <c r="L77" s="21"/>
      <c r="M77" s="21"/>
      <c r="N77" s="21"/>
      <c r="O77" s="21"/>
      <c r="P77" s="21"/>
      <c r="Q77" s="10" t="s">
        <v>296</v>
      </c>
      <c r="R77" s="10"/>
      <c r="S77" s="10"/>
      <c r="T77" s="10" t="s">
        <v>297</v>
      </c>
      <c r="U77" s="10" t="s">
        <v>92</v>
      </c>
      <c r="V77" s="10" t="s">
        <v>626</v>
      </c>
      <c r="W77" s="10">
        <v>2026</v>
      </c>
      <c r="X77" s="10">
        <v>2000</v>
      </c>
      <c r="Y77" s="10">
        <v>2021</v>
      </c>
      <c r="Z77" s="10" t="s">
        <v>143</v>
      </c>
      <c r="AA77" s="10" t="s">
        <v>627</v>
      </c>
      <c r="AB77" s="10" t="s">
        <v>415</v>
      </c>
      <c r="AC77" s="10" t="s">
        <v>629</v>
      </c>
      <c r="AD77" s="10" t="s">
        <v>150</v>
      </c>
      <c r="AE77" s="10"/>
      <c r="AF77" s="10" t="s">
        <v>142</v>
      </c>
      <c r="AG77" s="10" t="s">
        <v>628</v>
      </c>
    </row>
    <row r="78" spans="1:33" ht="169" x14ac:dyDescent="0.2">
      <c r="A78" s="12" t="s">
        <v>220</v>
      </c>
      <c r="B78" s="30" t="s">
        <v>125</v>
      </c>
      <c r="C78" s="12" t="s">
        <v>346</v>
      </c>
      <c r="D78" s="12" t="s">
        <v>630</v>
      </c>
      <c r="E78" s="12" t="s">
        <v>631</v>
      </c>
      <c r="F78" s="12" t="s">
        <v>347</v>
      </c>
      <c r="G78" s="21"/>
      <c r="H78" s="21" t="s">
        <v>134</v>
      </c>
      <c r="I78" s="21"/>
      <c r="J78" s="21"/>
      <c r="K78" s="21" t="s">
        <v>134</v>
      </c>
      <c r="L78" s="21"/>
      <c r="M78" s="21"/>
      <c r="N78" s="21"/>
      <c r="O78" s="21"/>
      <c r="P78" s="21"/>
      <c r="Q78" s="12" t="s">
        <v>296</v>
      </c>
      <c r="R78" s="12"/>
      <c r="S78" s="12"/>
      <c r="T78" s="12" t="s">
        <v>260</v>
      </c>
      <c r="U78" s="12" t="s">
        <v>92</v>
      </c>
      <c r="V78" s="12" t="s">
        <v>632</v>
      </c>
      <c r="W78" s="12">
        <v>2026</v>
      </c>
      <c r="X78" s="12">
        <v>2005</v>
      </c>
      <c r="Y78" s="12">
        <v>2022</v>
      </c>
      <c r="Z78" s="12" t="s">
        <v>140</v>
      </c>
      <c r="AA78" s="12" t="s">
        <v>633</v>
      </c>
      <c r="AB78" s="12" t="s">
        <v>1019</v>
      </c>
      <c r="AC78" s="12" t="s">
        <v>634</v>
      </c>
      <c r="AD78" s="12" t="s">
        <v>150</v>
      </c>
      <c r="AE78" s="12"/>
      <c r="AF78" s="12" t="s">
        <v>142</v>
      </c>
      <c r="AG78" s="12" t="s">
        <v>138</v>
      </c>
    </row>
    <row r="79" spans="1:33" ht="156" x14ac:dyDescent="0.2">
      <c r="A79" s="10" t="s">
        <v>221</v>
      </c>
      <c r="B79" s="10" t="s">
        <v>125</v>
      </c>
      <c r="C79" s="10" t="s">
        <v>349</v>
      </c>
      <c r="D79" s="10" t="s">
        <v>635</v>
      </c>
      <c r="E79" s="10" t="s">
        <v>636</v>
      </c>
      <c r="F79" s="10" t="s">
        <v>348</v>
      </c>
      <c r="G79" s="21"/>
      <c r="H79" s="21" t="s">
        <v>134</v>
      </c>
      <c r="I79" s="21" t="s">
        <v>134</v>
      </c>
      <c r="J79" s="21"/>
      <c r="K79" s="21" t="s">
        <v>134</v>
      </c>
      <c r="L79" s="21"/>
      <c r="M79" s="21" t="s">
        <v>134</v>
      </c>
      <c r="N79" s="21"/>
      <c r="O79" s="21"/>
      <c r="P79" s="21"/>
      <c r="Q79" s="10" t="s">
        <v>296</v>
      </c>
      <c r="R79" s="10"/>
      <c r="S79" s="10"/>
      <c r="T79" s="10" t="s">
        <v>297</v>
      </c>
      <c r="U79" s="10" t="s">
        <v>260</v>
      </c>
      <c r="V79" s="10" t="s">
        <v>637</v>
      </c>
      <c r="W79" s="10">
        <v>2026</v>
      </c>
      <c r="X79" s="10">
        <v>2009</v>
      </c>
      <c r="Y79" s="10">
        <v>2024</v>
      </c>
      <c r="Z79" s="10" t="s">
        <v>140</v>
      </c>
      <c r="AA79" s="10" t="s">
        <v>638</v>
      </c>
      <c r="AB79" s="10" t="s">
        <v>1019</v>
      </c>
      <c r="AC79" s="10" t="s">
        <v>639</v>
      </c>
      <c r="AD79" s="10" t="s">
        <v>150</v>
      </c>
      <c r="AE79" s="10"/>
      <c r="AF79" s="10" t="s">
        <v>142</v>
      </c>
      <c r="AG79" s="10" t="s">
        <v>141</v>
      </c>
    </row>
    <row r="80" spans="1:33" ht="182" x14ac:dyDescent="0.2">
      <c r="A80" s="12" t="s">
        <v>222</v>
      </c>
      <c r="B80" s="30" t="s">
        <v>125</v>
      </c>
      <c r="C80" s="12" t="s">
        <v>146</v>
      </c>
      <c r="D80" s="12" t="s">
        <v>640</v>
      </c>
      <c r="E80" s="12" t="s">
        <v>641</v>
      </c>
      <c r="F80" s="12" t="s">
        <v>147</v>
      </c>
      <c r="G80" s="21"/>
      <c r="H80" s="21"/>
      <c r="I80" s="21"/>
      <c r="J80" s="21"/>
      <c r="K80" s="21" t="s">
        <v>134</v>
      </c>
      <c r="L80" s="21"/>
      <c r="M80" s="21"/>
      <c r="N80" s="21"/>
      <c r="O80" s="21"/>
      <c r="P80" s="21"/>
      <c r="Q80" s="12" t="s">
        <v>296</v>
      </c>
      <c r="R80" s="12"/>
      <c r="S80" s="12"/>
      <c r="T80" s="12" t="s">
        <v>92</v>
      </c>
      <c r="U80" s="12"/>
      <c r="V80" s="12" t="s">
        <v>642</v>
      </c>
      <c r="W80" s="12">
        <v>2026</v>
      </c>
      <c r="X80" s="12">
        <v>2003</v>
      </c>
      <c r="Y80" s="12">
        <v>2023</v>
      </c>
      <c r="Z80" s="12" t="s">
        <v>139</v>
      </c>
      <c r="AA80" s="12" t="s">
        <v>643</v>
      </c>
      <c r="AB80" s="12" t="s">
        <v>134</v>
      </c>
      <c r="AC80" s="12" t="s">
        <v>644</v>
      </c>
      <c r="AD80" s="12" t="s">
        <v>134</v>
      </c>
      <c r="AE80" s="12" t="s">
        <v>644</v>
      </c>
      <c r="AF80" s="12" t="s">
        <v>134</v>
      </c>
      <c r="AG80" s="12" t="s">
        <v>138</v>
      </c>
    </row>
    <row r="81" spans="1:33" ht="143" x14ac:dyDescent="0.2">
      <c r="A81" s="10" t="s">
        <v>223</v>
      </c>
      <c r="B81" s="10" t="s">
        <v>125</v>
      </c>
      <c r="C81" s="10" t="s">
        <v>350</v>
      </c>
      <c r="D81" s="10" t="s">
        <v>645</v>
      </c>
      <c r="E81" s="10" t="s">
        <v>646</v>
      </c>
      <c r="F81" s="10" t="s">
        <v>351</v>
      </c>
      <c r="G81" s="21" t="s">
        <v>134</v>
      </c>
      <c r="H81" s="21"/>
      <c r="I81" s="21"/>
      <c r="J81" s="21"/>
      <c r="K81" s="21" t="s">
        <v>134</v>
      </c>
      <c r="L81" s="21"/>
      <c r="M81" s="21"/>
      <c r="N81" s="21"/>
      <c r="O81" s="21"/>
      <c r="P81" s="21"/>
      <c r="Q81" s="10" t="s">
        <v>296</v>
      </c>
      <c r="R81" s="10"/>
      <c r="S81" s="10"/>
      <c r="T81" s="10" t="s">
        <v>297</v>
      </c>
      <c r="U81" s="10" t="s">
        <v>260</v>
      </c>
      <c r="V81" s="10" t="s">
        <v>647</v>
      </c>
      <c r="W81" s="10">
        <v>2026</v>
      </c>
      <c r="X81" s="10">
        <v>2010</v>
      </c>
      <c r="Y81" s="10">
        <v>2023</v>
      </c>
      <c r="Z81" s="10" t="s">
        <v>140</v>
      </c>
      <c r="AA81" s="10" t="s">
        <v>648</v>
      </c>
      <c r="AB81" s="10" t="s">
        <v>1019</v>
      </c>
      <c r="AC81" s="10" t="s">
        <v>649</v>
      </c>
      <c r="AD81" s="10" t="s">
        <v>150</v>
      </c>
      <c r="AE81" s="10"/>
      <c r="AF81" s="10" t="s">
        <v>142</v>
      </c>
      <c r="AG81" s="10" t="s">
        <v>141</v>
      </c>
    </row>
    <row r="82" spans="1:33" ht="169" x14ac:dyDescent="0.2">
      <c r="A82" s="12" t="s">
        <v>224</v>
      </c>
      <c r="B82" s="30" t="s">
        <v>125</v>
      </c>
      <c r="C82" s="12" t="s">
        <v>352</v>
      </c>
      <c r="D82" s="12" t="s">
        <v>650</v>
      </c>
      <c r="E82" s="12" t="s">
        <v>651</v>
      </c>
      <c r="F82" s="12" t="s">
        <v>353</v>
      </c>
      <c r="G82" s="21"/>
      <c r="H82" s="21" t="s">
        <v>134</v>
      </c>
      <c r="I82" s="21"/>
      <c r="J82" s="21"/>
      <c r="K82" s="21" t="s">
        <v>134</v>
      </c>
      <c r="L82" s="21"/>
      <c r="M82" s="21"/>
      <c r="N82" s="21"/>
      <c r="O82" s="21"/>
      <c r="P82" s="21"/>
      <c r="Q82" s="12" t="s">
        <v>296</v>
      </c>
      <c r="R82" s="12"/>
      <c r="S82" s="12"/>
      <c r="T82" s="12" t="s">
        <v>92</v>
      </c>
      <c r="U82" s="12" t="s">
        <v>260</v>
      </c>
      <c r="V82" s="12" t="s">
        <v>652</v>
      </c>
      <c r="W82" s="12">
        <v>2026</v>
      </c>
      <c r="X82" s="12">
        <v>1990</v>
      </c>
      <c r="Y82" s="12">
        <v>2021</v>
      </c>
      <c r="Z82" s="12" t="s">
        <v>143</v>
      </c>
      <c r="AA82" s="12" t="s">
        <v>653</v>
      </c>
      <c r="AB82" s="12" t="s">
        <v>134</v>
      </c>
      <c r="AC82" s="12" t="s">
        <v>654</v>
      </c>
      <c r="AD82" s="12" t="s">
        <v>150</v>
      </c>
      <c r="AE82" s="12"/>
      <c r="AF82" s="12" t="s">
        <v>142</v>
      </c>
      <c r="AG82" s="12" t="s">
        <v>141</v>
      </c>
    </row>
    <row r="83" spans="1:33" ht="182" x14ac:dyDescent="0.2">
      <c r="A83" s="10" t="s">
        <v>225</v>
      </c>
      <c r="B83" s="10" t="s">
        <v>125</v>
      </c>
      <c r="C83" s="10" t="s">
        <v>137</v>
      </c>
      <c r="D83" s="10" t="s">
        <v>655</v>
      </c>
      <c r="E83" s="10" t="s">
        <v>656</v>
      </c>
      <c r="F83" s="10" t="s">
        <v>354</v>
      </c>
      <c r="G83" s="21"/>
      <c r="H83" s="21" t="s">
        <v>134</v>
      </c>
      <c r="I83" s="21"/>
      <c r="J83" s="21"/>
      <c r="K83" s="21" t="s">
        <v>134</v>
      </c>
      <c r="L83" s="21"/>
      <c r="M83" s="21"/>
      <c r="N83" s="21"/>
      <c r="O83" s="21"/>
      <c r="P83" s="21"/>
      <c r="Q83" s="10" t="s">
        <v>66</v>
      </c>
      <c r="R83" s="10" t="s">
        <v>72</v>
      </c>
      <c r="S83" s="10"/>
      <c r="T83" s="10" t="s">
        <v>90</v>
      </c>
      <c r="U83" s="10" t="s">
        <v>405</v>
      </c>
      <c r="V83" s="10" t="s">
        <v>657</v>
      </c>
      <c r="W83" s="10">
        <v>2026</v>
      </c>
      <c r="X83" s="10">
        <v>2010</v>
      </c>
      <c r="Y83" s="10">
        <v>2023</v>
      </c>
      <c r="Z83" s="10" t="s">
        <v>140</v>
      </c>
      <c r="AA83" s="10" t="s">
        <v>658</v>
      </c>
      <c r="AB83" s="10" t="s">
        <v>134</v>
      </c>
      <c r="AC83" s="33" t="s">
        <v>148</v>
      </c>
      <c r="AD83" s="10" t="s">
        <v>150</v>
      </c>
      <c r="AE83" s="10"/>
      <c r="AF83" s="10" t="s">
        <v>134</v>
      </c>
      <c r="AG83" s="10" t="s">
        <v>141</v>
      </c>
    </row>
    <row r="84" spans="1:33" ht="143" x14ac:dyDescent="0.2">
      <c r="A84" s="12" t="s">
        <v>226</v>
      </c>
      <c r="B84" s="30" t="s">
        <v>125</v>
      </c>
      <c r="C84" s="12" t="s">
        <v>355</v>
      </c>
      <c r="D84" s="12" t="s">
        <v>659</v>
      </c>
      <c r="E84" s="12" t="s">
        <v>660</v>
      </c>
      <c r="F84" s="34" t="s">
        <v>144</v>
      </c>
      <c r="G84" s="21"/>
      <c r="H84" s="21" t="s">
        <v>134</v>
      </c>
      <c r="I84" s="21"/>
      <c r="J84" s="21"/>
      <c r="K84" s="21" t="s">
        <v>134</v>
      </c>
      <c r="L84" s="21"/>
      <c r="M84" s="21"/>
      <c r="N84" s="21"/>
      <c r="O84" s="21"/>
      <c r="P84" s="21"/>
      <c r="Q84" s="12" t="s">
        <v>68</v>
      </c>
      <c r="R84" s="12" t="s">
        <v>296</v>
      </c>
      <c r="S84" s="12"/>
      <c r="T84" s="12" t="s">
        <v>372</v>
      </c>
      <c r="U84" s="12" t="s">
        <v>297</v>
      </c>
      <c r="V84" s="12" t="s">
        <v>1053</v>
      </c>
      <c r="W84" s="12">
        <v>2026</v>
      </c>
      <c r="X84" s="12">
        <v>1993</v>
      </c>
      <c r="Y84" s="12">
        <v>2019</v>
      </c>
      <c r="Z84" s="12" t="s">
        <v>143</v>
      </c>
      <c r="AA84" s="12" t="s">
        <v>1054</v>
      </c>
      <c r="AB84" s="12" t="s">
        <v>134</v>
      </c>
      <c r="AC84" s="12" t="s">
        <v>145</v>
      </c>
      <c r="AD84" s="12" t="s">
        <v>134</v>
      </c>
      <c r="AE84" s="12" t="s">
        <v>145</v>
      </c>
      <c r="AF84" s="12" t="s">
        <v>134</v>
      </c>
      <c r="AG84" s="12" t="s">
        <v>628</v>
      </c>
    </row>
    <row r="85" spans="1:33" ht="156" x14ac:dyDescent="0.2">
      <c r="A85" s="10" t="s">
        <v>227</v>
      </c>
      <c r="B85" s="10" t="s">
        <v>125</v>
      </c>
      <c r="C85" s="10" t="s">
        <v>136</v>
      </c>
      <c r="D85" s="10" t="s">
        <v>661</v>
      </c>
      <c r="E85" s="10" t="s">
        <v>662</v>
      </c>
      <c r="F85" s="10" t="s">
        <v>356</v>
      </c>
      <c r="G85" s="21"/>
      <c r="H85" s="21"/>
      <c r="I85" s="21"/>
      <c r="J85" s="21"/>
      <c r="K85" s="21" t="s">
        <v>134</v>
      </c>
      <c r="L85" s="21"/>
      <c r="M85" s="21"/>
      <c r="N85" s="21"/>
      <c r="O85" s="21"/>
      <c r="P85" s="21"/>
      <c r="Q85" s="10" t="s">
        <v>66</v>
      </c>
      <c r="R85" s="10" t="s">
        <v>74</v>
      </c>
      <c r="S85" s="10" t="s">
        <v>663</v>
      </c>
      <c r="T85" s="10" t="s">
        <v>297</v>
      </c>
      <c r="U85" s="10" t="s">
        <v>149</v>
      </c>
      <c r="V85" s="10" t="s">
        <v>664</v>
      </c>
      <c r="W85" s="10">
        <v>2026</v>
      </c>
      <c r="X85" s="10">
        <v>2010</v>
      </c>
      <c r="Y85" s="10">
        <v>2023</v>
      </c>
      <c r="Z85" s="10" t="s">
        <v>140</v>
      </c>
      <c r="AA85" s="10" t="s">
        <v>665</v>
      </c>
      <c r="AB85" s="10" t="s">
        <v>150</v>
      </c>
      <c r="AC85" s="10"/>
      <c r="AD85" s="10" t="s">
        <v>150</v>
      </c>
      <c r="AE85" s="10"/>
      <c r="AF85" s="10" t="s">
        <v>142</v>
      </c>
      <c r="AG85" s="10" t="s">
        <v>138</v>
      </c>
    </row>
    <row r="86" spans="1:33" ht="117" x14ac:dyDescent="0.2">
      <c r="A86" s="12" t="s">
        <v>228</v>
      </c>
      <c r="B86" s="30" t="s">
        <v>125</v>
      </c>
      <c r="C86" s="12" t="s">
        <v>357</v>
      </c>
      <c r="D86" s="12" t="s">
        <v>666</v>
      </c>
      <c r="E86" s="12" t="s">
        <v>667</v>
      </c>
      <c r="F86" s="12" t="s">
        <v>358</v>
      </c>
      <c r="G86" s="21" t="s">
        <v>134</v>
      </c>
      <c r="H86" s="21" t="s">
        <v>134</v>
      </c>
      <c r="I86" s="21"/>
      <c r="J86" s="21"/>
      <c r="K86" s="21" t="s">
        <v>134</v>
      </c>
      <c r="L86" s="21"/>
      <c r="M86" s="21"/>
      <c r="N86" s="21"/>
      <c r="O86" s="21"/>
      <c r="P86" s="21"/>
      <c r="Q86" s="12" t="s">
        <v>66</v>
      </c>
      <c r="R86" s="12"/>
      <c r="S86" s="12"/>
      <c r="T86" s="12" t="s">
        <v>287</v>
      </c>
      <c r="U86" s="12" t="s">
        <v>260</v>
      </c>
      <c r="V86" s="12" t="s">
        <v>668</v>
      </c>
      <c r="W86" s="12">
        <v>2026</v>
      </c>
      <c r="X86" s="12">
        <v>2025</v>
      </c>
      <c r="Y86" s="12">
        <v>2025</v>
      </c>
      <c r="Z86" s="12" t="s">
        <v>140</v>
      </c>
      <c r="AA86" s="12" t="s">
        <v>669</v>
      </c>
      <c r="AB86" s="12" t="s">
        <v>150</v>
      </c>
      <c r="AC86" s="12"/>
      <c r="AD86" s="12" t="s">
        <v>150</v>
      </c>
      <c r="AE86" s="12"/>
      <c r="AF86" s="12" t="s">
        <v>134</v>
      </c>
      <c r="AG86" s="12" t="s">
        <v>141</v>
      </c>
    </row>
    <row r="87" spans="1:33" ht="156" x14ac:dyDescent="0.2">
      <c r="A87" s="10" t="s">
        <v>229</v>
      </c>
      <c r="B87" s="10" t="s">
        <v>125</v>
      </c>
      <c r="C87" s="10" t="s">
        <v>359</v>
      </c>
      <c r="D87" s="10" t="s">
        <v>670</v>
      </c>
      <c r="E87" s="10" t="s">
        <v>671</v>
      </c>
      <c r="F87" s="10" t="s">
        <v>360</v>
      </c>
      <c r="G87" s="21"/>
      <c r="H87" s="21" t="s">
        <v>134</v>
      </c>
      <c r="I87" s="21"/>
      <c r="J87" s="21"/>
      <c r="K87" s="21" t="s">
        <v>134</v>
      </c>
      <c r="L87" s="21" t="s">
        <v>134</v>
      </c>
      <c r="M87" s="21"/>
      <c r="N87" s="21"/>
      <c r="O87" s="21"/>
      <c r="P87" s="21"/>
      <c r="Q87" s="10" t="s">
        <v>275</v>
      </c>
      <c r="R87" s="10" t="s">
        <v>72</v>
      </c>
      <c r="S87" s="10"/>
      <c r="T87" s="10" t="s">
        <v>274</v>
      </c>
      <c r="U87" s="10"/>
      <c r="V87" s="10" t="s">
        <v>672</v>
      </c>
      <c r="W87" s="10">
        <v>2026</v>
      </c>
      <c r="X87" s="10">
        <v>2020</v>
      </c>
      <c r="Y87" s="10">
        <v>2024</v>
      </c>
      <c r="Z87" s="10" t="s">
        <v>139</v>
      </c>
      <c r="AA87" s="10" t="s">
        <v>673</v>
      </c>
      <c r="AB87" s="10" t="s">
        <v>415</v>
      </c>
      <c r="AC87" s="10" t="s">
        <v>674</v>
      </c>
      <c r="AD87" s="10" t="s">
        <v>150</v>
      </c>
      <c r="AE87" s="10"/>
      <c r="AF87" s="10" t="s">
        <v>134</v>
      </c>
      <c r="AG87" s="10" t="s">
        <v>138</v>
      </c>
    </row>
    <row r="88" spans="1:33" ht="169" x14ac:dyDescent="0.2">
      <c r="A88" s="12" t="s">
        <v>230</v>
      </c>
      <c r="B88" s="30" t="s">
        <v>125</v>
      </c>
      <c r="C88" s="12" t="s">
        <v>361</v>
      </c>
      <c r="D88" s="12" t="s">
        <v>675</v>
      </c>
      <c r="E88" s="12" t="s">
        <v>676</v>
      </c>
      <c r="F88" s="12" t="s">
        <v>362</v>
      </c>
      <c r="G88" s="21"/>
      <c r="H88" s="21" t="s">
        <v>134</v>
      </c>
      <c r="I88" s="21"/>
      <c r="J88" s="21"/>
      <c r="K88" s="21" t="s">
        <v>134</v>
      </c>
      <c r="L88" s="21"/>
      <c r="M88" s="21"/>
      <c r="N88" s="21"/>
      <c r="O88" s="21"/>
      <c r="P88" s="21"/>
      <c r="Q88" s="12" t="s">
        <v>68</v>
      </c>
      <c r="R88" s="12" t="s">
        <v>296</v>
      </c>
      <c r="S88" s="12"/>
      <c r="T88" s="12" t="s">
        <v>86</v>
      </c>
      <c r="U88" s="12" t="s">
        <v>297</v>
      </c>
      <c r="V88" s="12" t="s">
        <v>677</v>
      </c>
      <c r="W88" s="12">
        <v>2026</v>
      </c>
      <c r="X88" s="12">
        <v>2000</v>
      </c>
      <c r="Y88" s="12">
        <v>2023</v>
      </c>
      <c r="Z88" s="12" t="s">
        <v>140</v>
      </c>
      <c r="AA88" s="12" t="s">
        <v>678</v>
      </c>
      <c r="AB88" s="12" t="s">
        <v>1019</v>
      </c>
      <c r="AC88" s="12" t="s">
        <v>679</v>
      </c>
      <c r="AD88" s="12" t="s">
        <v>150</v>
      </c>
      <c r="AE88" s="12"/>
      <c r="AF88" s="12" t="s">
        <v>142</v>
      </c>
      <c r="AG88" s="12" t="s">
        <v>628</v>
      </c>
    </row>
    <row r="89" spans="1:33" ht="143" x14ac:dyDescent="0.2">
      <c r="A89" s="10" t="s">
        <v>231</v>
      </c>
      <c r="B89" s="10" t="s">
        <v>125</v>
      </c>
      <c r="C89" s="10" t="s">
        <v>364</v>
      </c>
      <c r="D89" s="10" t="s">
        <v>680</v>
      </c>
      <c r="E89" s="10" t="s">
        <v>681</v>
      </c>
      <c r="F89" s="10" t="s">
        <v>363</v>
      </c>
      <c r="G89" s="21"/>
      <c r="H89" s="21" t="s">
        <v>134</v>
      </c>
      <c r="I89" s="21"/>
      <c r="J89" s="21"/>
      <c r="K89" s="21"/>
      <c r="L89" s="21"/>
      <c r="M89" s="21" t="s">
        <v>134</v>
      </c>
      <c r="N89" s="21"/>
      <c r="O89" s="21"/>
      <c r="P89" s="21"/>
      <c r="Q89" s="10" t="s">
        <v>66</v>
      </c>
      <c r="R89" s="10" t="s">
        <v>296</v>
      </c>
      <c r="S89" s="10"/>
      <c r="T89" s="10" t="s">
        <v>287</v>
      </c>
      <c r="U89" s="10" t="s">
        <v>260</v>
      </c>
      <c r="V89" s="10" t="s">
        <v>682</v>
      </c>
      <c r="W89" s="10">
        <v>2026</v>
      </c>
      <c r="X89" s="10">
        <v>2006</v>
      </c>
      <c r="Y89" s="10">
        <v>2022</v>
      </c>
      <c r="Z89" s="10" t="s">
        <v>143</v>
      </c>
      <c r="AA89" s="10" t="s">
        <v>1018</v>
      </c>
      <c r="AB89" s="10" t="s">
        <v>1019</v>
      </c>
      <c r="AC89" s="10" t="s">
        <v>683</v>
      </c>
      <c r="AD89" s="10" t="s">
        <v>142</v>
      </c>
      <c r="AE89" s="10" t="s">
        <v>695</v>
      </c>
      <c r="AF89" s="10" t="s">
        <v>142</v>
      </c>
      <c r="AG89" s="10" t="s">
        <v>141</v>
      </c>
    </row>
    <row r="90" spans="1:33" ht="117" x14ac:dyDescent="0.2">
      <c r="A90" s="12" t="s">
        <v>232</v>
      </c>
      <c r="B90" s="30" t="s">
        <v>124</v>
      </c>
      <c r="C90" s="12" t="s">
        <v>460</v>
      </c>
      <c r="D90" s="12" t="s">
        <v>684</v>
      </c>
      <c r="E90" s="12" t="s">
        <v>685</v>
      </c>
      <c r="F90" s="12" t="s">
        <v>461</v>
      </c>
      <c r="G90" s="21"/>
      <c r="H90" s="21"/>
      <c r="I90" s="21"/>
      <c r="J90" s="21"/>
      <c r="K90" s="21"/>
      <c r="L90" s="21"/>
      <c r="M90" s="21" t="s">
        <v>134</v>
      </c>
      <c r="N90" s="21"/>
      <c r="O90" s="21" t="s">
        <v>134</v>
      </c>
      <c r="P90" s="21"/>
      <c r="Q90" s="12" t="s">
        <v>296</v>
      </c>
      <c r="R90" s="12"/>
      <c r="S90" s="12"/>
      <c r="T90" s="12" t="s">
        <v>92</v>
      </c>
      <c r="U90" s="12" t="s">
        <v>297</v>
      </c>
      <c r="V90" s="12" t="s">
        <v>686</v>
      </c>
      <c r="W90" s="12">
        <v>2020</v>
      </c>
      <c r="X90" s="12">
        <v>2007</v>
      </c>
      <c r="Y90" s="12">
        <v>2016</v>
      </c>
      <c r="Z90" s="12" t="s">
        <v>143</v>
      </c>
      <c r="AA90" s="12" t="s">
        <v>687</v>
      </c>
      <c r="AB90" s="12" t="s">
        <v>1019</v>
      </c>
      <c r="AC90" s="12" t="s">
        <v>688</v>
      </c>
      <c r="AD90" s="12" t="s">
        <v>150</v>
      </c>
      <c r="AE90" s="12"/>
      <c r="AF90" s="12" t="s">
        <v>142</v>
      </c>
      <c r="AG90" s="12" t="s">
        <v>141</v>
      </c>
    </row>
    <row r="91" spans="1:33" ht="143" x14ac:dyDescent="0.2">
      <c r="A91" s="10" t="s">
        <v>233</v>
      </c>
      <c r="B91" s="10" t="s">
        <v>124</v>
      </c>
      <c r="C91" s="10" t="s">
        <v>462</v>
      </c>
      <c r="D91" s="10" t="s">
        <v>689</v>
      </c>
      <c r="E91" s="10" t="s">
        <v>690</v>
      </c>
      <c r="F91" s="10" t="s">
        <v>463</v>
      </c>
      <c r="G91" s="21" t="s">
        <v>134</v>
      </c>
      <c r="H91" s="21"/>
      <c r="I91" s="21"/>
      <c r="J91" s="21"/>
      <c r="K91" s="21"/>
      <c r="L91" s="21"/>
      <c r="M91" s="21"/>
      <c r="N91" s="21"/>
      <c r="O91" s="21"/>
      <c r="P91" s="21"/>
      <c r="Q91" s="10" t="s">
        <v>296</v>
      </c>
      <c r="R91" s="10" t="s">
        <v>138</v>
      </c>
      <c r="S91" s="10" t="s">
        <v>691</v>
      </c>
      <c r="T91" s="10" t="s">
        <v>297</v>
      </c>
      <c r="U91" s="10" t="s">
        <v>274</v>
      </c>
      <c r="V91" s="10" t="s">
        <v>692</v>
      </c>
      <c r="W91" s="10">
        <v>2020</v>
      </c>
      <c r="X91" s="10">
        <v>1997</v>
      </c>
      <c r="Y91" s="10">
        <v>2017</v>
      </c>
      <c r="Z91" s="10" t="s">
        <v>143</v>
      </c>
      <c r="AA91" s="10" t="s">
        <v>693</v>
      </c>
      <c r="AB91" s="10" t="s">
        <v>1019</v>
      </c>
      <c r="AC91" s="10" t="s">
        <v>694</v>
      </c>
      <c r="AD91" s="10" t="s">
        <v>150</v>
      </c>
      <c r="AE91" s="10"/>
      <c r="AF91" s="10" t="s">
        <v>142</v>
      </c>
      <c r="AG91" s="10" t="s">
        <v>628</v>
      </c>
    </row>
    <row r="92" spans="1:33" ht="117" x14ac:dyDescent="0.2">
      <c r="A92" s="12" t="s">
        <v>234</v>
      </c>
      <c r="B92" s="30" t="s">
        <v>124</v>
      </c>
      <c r="C92" s="12" t="s">
        <v>464</v>
      </c>
      <c r="D92" s="12" t="s">
        <v>696</v>
      </c>
      <c r="E92" s="12" t="s">
        <v>697</v>
      </c>
      <c r="F92" s="12" t="s">
        <v>465</v>
      </c>
      <c r="G92" s="21" t="s">
        <v>134</v>
      </c>
      <c r="H92" s="21"/>
      <c r="I92" s="21"/>
      <c r="J92" s="21"/>
      <c r="K92" s="21"/>
      <c r="L92" s="21"/>
      <c r="M92" s="21"/>
      <c r="N92" s="21"/>
      <c r="O92" s="21"/>
      <c r="P92" s="21"/>
      <c r="Q92" s="12" t="s">
        <v>296</v>
      </c>
      <c r="R92" s="12"/>
      <c r="S92" s="12"/>
      <c r="T92" s="12" t="s">
        <v>297</v>
      </c>
      <c r="U92" s="12" t="s">
        <v>372</v>
      </c>
      <c r="V92" s="12" t="s">
        <v>698</v>
      </c>
      <c r="W92" s="12">
        <v>2020</v>
      </c>
      <c r="X92" s="12">
        <v>2014</v>
      </c>
      <c r="Y92" s="12">
        <v>2017</v>
      </c>
      <c r="Z92" s="12" t="s">
        <v>143</v>
      </c>
      <c r="AA92" s="12" t="s">
        <v>699</v>
      </c>
      <c r="AB92" s="12" t="s">
        <v>1019</v>
      </c>
      <c r="AC92" s="12" t="s">
        <v>700</v>
      </c>
      <c r="AD92" s="12" t="s">
        <v>150</v>
      </c>
      <c r="AE92" s="12"/>
      <c r="AF92" s="12" t="s">
        <v>142</v>
      </c>
      <c r="AG92" s="12" t="s">
        <v>628</v>
      </c>
    </row>
    <row r="93" spans="1:33" ht="143" x14ac:dyDescent="0.2">
      <c r="A93" s="10" t="s">
        <v>235</v>
      </c>
      <c r="B93" s="10" t="s">
        <v>124</v>
      </c>
      <c r="C93" s="10" t="s">
        <v>466</v>
      </c>
      <c r="D93" s="10" t="s">
        <v>701</v>
      </c>
      <c r="E93" s="10" t="s">
        <v>702</v>
      </c>
      <c r="F93" s="10" t="s">
        <v>467</v>
      </c>
      <c r="G93" s="21"/>
      <c r="H93" s="21" t="s">
        <v>134</v>
      </c>
      <c r="I93" s="21" t="s">
        <v>134</v>
      </c>
      <c r="J93" s="21"/>
      <c r="K93" s="21"/>
      <c r="L93" s="21"/>
      <c r="M93" s="21"/>
      <c r="N93" s="21"/>
      <c r="O93" s="21"/>
      <c r="P93" s="21"/>
      <c r="Q93" s="10" t="s">
        <v>66</v>
      </c>
      <c r="R93" s="10" t="s">
        <v>296</v>
      </c>
      <c r="S93" s="10"/>
      <c r="T93" s="10" t="s">
        <v>90</v>
      </c>
      <c r="U93" s="10" t="s">
        <v>260</v>
      </c>
      <c r="V93" s="10" t="s">
        <v>703</v>
      </c>
      <c r="W93" s="10">
        <v>2020</v>
      </c>
      <c r="X93" s="10">
        <v>1984</v>
      </c>
      <c r="Y93" s="10">
        <v>2018</v>
      </c>
      <c r="Z93" s="10" t="s">
        <v>143</v>
      </c>
      <c r="AA93" s="10" t="s">
        <v>704</v>
      </c>
      <c r="AB93" s="10" t="s">
        <v>134</v>
      </c>
      <c r="AC93" s="33" t="s">
        <v>705</v>
      </c>
      <c r="AD93" s="10" t="s">
        <v>150</v>
      </c>
      <c r="AE93" s="10"/>
      <c r="AF93" s="10" t="s">
        <v>134</v>
      </c>
      <c r="AG93" s="10" t="s">
        <v>387</v>
      </c>
    </row>
    <row r="94" spans="1:33" ht="130" x14ac:dyDescent="0.2">
      <c r="A94" s="12" t="s">
        <v>236</v>
      </c>
      <c r="B94" s="30" t="s">
        <v>124</v>
      </c>
      <c r="C94" s="12" t="s">
        <v>468</v>
      </c>
      <c r="D94" s="12" t="s">
        <v>706</v>
      </c>
      <c r="E94" s="12" t="s">
        <v>707</v>
      </c>
      <c r="F94" s="12" t="s">
        <v>469</v>
      </c>
      <c r="G94" s="21" t="s">
        <v>134</v>
      </c>
      <c r="H94" s="21" t="s">
        <v>134</v>
      </c>
      <c r="I94" s="21"/>
      <c r="J94" s="21"/>
      <c r="K94" s="21"/>
      <c r="L94" s="21"/>
      <c r="M94" s="21"/>
      <c r="N94" s="21"/>
      <c r="O94" s="21"/>
      <c r="P94" s="21"/>
      <c r="Q94" s="12" t="s">
        <v>296</v>
      </c>
      <c r="R94" s="12"/>
      <c r="S94" s="12"/>
      <c r="T94" s="12" t="s">
        <v>138</v>
      </c>
      <c r="U94" s="12" t="s">
        <v>372</v>
      </c>
      <c r="V94" s="12" t="s">
        <v>708</v>
      </c>
      <c r="W94" s="12">
        <v>2020</v>
      </c>
      <c r="X94" s="12">
        <v>1973</v>
      </c>
      <c r="Y94" s="12">
        <v>2017</v>
      </c>
      <c r="Z94" s="12" t="s">
        <v>140</v>
      </c>
      <c r="AA94" s="12" t="s">
        <v>709</v>
      </c>
      <c r="AB94" s="12" t="s">
        <v>1019</v>
      </c>
      <c r="AC94" s="12" t="s">
        <v>710</v>
      </c>
      <c r="AD94" s="12" t="s">
        <v>150</v>
      </c>
      <c r="AE94" s="12"/>
      <c r="AF94" s="12" t="s">
        <v>142</v>
      </c>
      <c r="AG94" s="12" t="s">
        <v>138</v>
      </c>
    </row>
    <row r="95" spans="1:33" ht="104" x14ac:dyDescent="0.2">
      <c r="A95" s="10" t="s">
        <v>237</v>
      </c>
      <c r="B95" s="10" t="s">
        <v>124</v>
      </c>
      <c r="C95" s="10" t="s">
        <v>470</v>
      </c>
      <c r="D95" s="10" t="s">
        <v>711</v>
      </c>
      <c r="E95" s="10" t="s">
        <v>712</v>
      </c>
      <c r="F95" s="10" t="s">
        <v>471</v>
      </c>
      <c r="G95" s="21"/>
      <c r="H95" s="21" t="s">
        <v>134</v>
      </c>
      <c r="I95" s="21"/>
      <c r="J95" s="21"/>
      <c r="K95" s="21"/>
      <c r="L95" s="21"/>
      <c r="M95" s="21" t="s">
        <v>134</v>
      </c>
      <c r="N95" s="21"/>
      <c r="O95" s="21"/>
      <c r="P95" s="21"/>
      <c r="Q95" s="10" t="s">
        <v>296</v>
      </c>
      <c r="R95" s="10"/>
      <c r="S95" s="10"/>
      <c r="T95" s="10" t="s">
        <v>260</v>
      </c>
      <c r="U95" s="10" t="s">
        <v>297</v>
      </c>
      <c r="V95" s="10" t="s">
        <v>713</v>
      </c>
      <c r="W95" s="10">
        <v>2021</v>
      </c>
      <c r="X95" s="10">
        <v>2009</v>
      </c>
      <c r="Y95" s="10">
        <v>2016</v>
      </c>
      <c r="Z95" s="10" t="s">
        <v>143</v>
      </c>
      <c r="AA95" s="10" t="s">
        <v>714</v>
      </c>
      <c r="AB95" s="10" t="s">
        <v>150</v>
      </c>
      <c r="AC95" s="10"/>
      <c r="AD95" s="10" t="s">
        <v>150</v>
      </c>
      <c r="AE95" s="10"/>
      <c r="AF95" s="10" t="s">
        <v>150</v>
      </c>
      <c r="AG95" s="10" t="s">
        <v>141</v>
      </c>
    </row>
    <row r="96" spans="1:33" ht="117" x14ac:dyDescent="0.2">
      <c r="A96" s="12" t="s">
        <v>238</v>
      </c>
      <c r="B96" s="30" t="s">
        <v>124</v>
      </c>
      <c r="C96" s="12" t="s">
        <v>472</v>
      </c>
      <c r="D96" s="12" t="s">
        <v>716</v>
      </c>
      <c r="E96" s="12" t="s">
        <v>717</v>
      </c>
      <c r="F96" s="12" t="s">
        <v>473</v>
      </c>
      <c r="G96" s="21" t="s">
        <v>134</v>
      </c>
      <c r="H96" s="21"/>
      <c r="I96" s="21"/>
      <c r="J96" s="21"/>
      <c r="K96" s="21"/>
      <c r="L96" s="21" t="s">
        <v>134</v>
      </c>
      <c r="M96" s="21"/>
      <c r="N96" s="21"/>
      <c r="O96" s="21"/>
      <c r="P96" s="21"/>
      <c r="Q96" s="12" t="s">
        <v>296</v>
      </c>
      <c r="R96" s="12"/>
      <c r="S96" s="12"/>
      <c r="T96" s="12" t="s">
        <v>92</v>
      </c>
      <c r="U96" s="12" t="s">
        <v>297</v>
      </c>
      <c r="V96" s="12" t="s">
        <v>718</v>
      </c>
      <c r="W96" s="12">
        <v>2021</v>
      </c>
      <c r="X96" s="12">
        <v>2008</v>
      </c>
      <c r="Y96" s="12">
        <v>2017</v>
      </c>
      <c r="Z96" s="12" t="s">
        <v>139</v>
      </c>
      <c r="AA96" s="12" t="s">
        <v>719</v>
      </c>
      <c r="AB96" s="12" t="s">
        <v>1019</v>
      </c>
      <c r="AC96" s="12" t="s">
        <v>720</v>
      </c>
      <c r="AD96" s="12" t="s">
        <v>134</v>
      </c>
      <c r="AE96" s="12" t="s">
        <v>715</v>
      </c>
      <c r="AF96" s="12" t="s">
        <v>142</v>
      </c>
      <c r="AG96" s="12" t="s">
        <v>628</v>
      </c>
    </row>
    <row r="97" spans="1:33" ht="104" x14ac:dyDescent="0.2">
      <c r="A97" s="10" t="s">
        <v>239</v>
      </c>
      <c r="B97" s="10" t="s">
        <v>124</v>
      </c>
      <c r="C97" s="10" t="s">
        <v>474</v>
      </c>
      <c r="D97" s="10" t="s">
        <v>721</v>
      </c>
      <c r="E97" s="10" t="s">
        <v>722</v>
      </c>
      <c r="F97" s="10" t="s">
        <v>475</v>
      </c>
      <c r="G97" s="21"/>
      <c r="H97" s="21"/>
      <c r="I97" s="21" t="s">
        <v>134</v>
      </c>
      <c r="J97" s="21"/>
      <c r="K97" s="21"/>
      <c r="L97" s="21"/>
      <c r="M97" s="21"/>
      <c r="N97" s="21" t="s">
        <v>134</v>
      </c>
      <c r="O97" s="21"/>
      <c r="P97" s="21"/>
      <c r="Q97" s="10" t="s">
        <v>275</v>
      </c>
      <c r="R97" s="10" t="s">
        <v>72</v>
      </c>
      <c r="S97" s="10"/>
      <c r="T97" s="10" t="s">
        <v>274</v>
      </c>
      <c r="U97" s="10"/>
      <c r="V97" s="10" t="s">
        <v>723</v>
      </c>
      <c r="W97" s="10">
        <v>2021</v>
      </c>
      <c r="X97" s="10">
        <v>2018</v>
      </c>
      <c r="Y97" s="10">
        <v>2020</v>
      </c>
      <c r="Z97" s="10" t="s">
        <v>139</v>
      </c>
      <c r="AA97" s="10" t="s">
        <v>724</v>
      </c>
      <c r="AB97" s="10" t="s">
        <v>150</v>
      </c>
      <c r="AC97" s="10"/>
      <c r="AD97" s="10" t="s">
        <v>150</v>
      </c>
      <c r="AE97" s="10"/>
      <c r="AF97" s="10" t="s">
        <v>150</v>
      </c>
      <c r="AG97" s="10" t="s">
        <v>138</v>
      </c>
    </row>
    <row r="98" spans="1:33" ht="117" x14ac:dyDescent="0.2">
      <c r="A98" s="12" t="s">
        <v>240</v>
      </c>
      <c r="B98" s="30" t="s">
        <v>124</v>
      </c>
      <c r="C98" s="12" t="s">
        <v>476</v>
      </c>
      <c r="D98" s="12" t="s">
        <v>725</v>
      </c>
      <c r="E98" s="12" t="s">
        <v>726</v>
      </c>
      <c r="F98" s="12" t="s">
        <v>477</v>
      </c>
      <c r="G98" s="21"/>
      <c r="H98" s="21"/>
      <c r="I98" s="21" t="s">
        <v>134</v>
      </c>
      <c r="J98" s="21" t="s">
        <v>134</v>
      </c>
      <c r="K98" s="21"/>
      <c r="L98" s="21"/>
      <c r="M98" s="21"/>
      <c r="N98" s="21"/>
      <c r="O98" s="21"/>
      <c r="P98" s="21"/>
      <c r="Q98" s="12" t="s">
        <v>296</v>
      </c>
      <c r="R98" s="12"/>
      <c r="S98" s="12"/>
      <c r="T98" s="12" t="s">
        <v>297</v>
      </c>
      <c r="U98" s="12" t="s">
        <v>260</v>
      </c>
      <c r="V98" s="12" t="s">
        <v>727</v>
      </c>
      <c r="W98" s="12">
        <v>2022</v>
      </c>
      <c r="X98" s="12">
        <v>1993</v>
      </c>
      <c r="Y98" s="12">
        <v>2013</v>
      </c>
      <c r="Z98" s="12" t="s">
        <v>143</v>
      </c>
      <c r="AA98" s="12" t="s">
        <v>728</v>
      </c>
      <c r="AB98" s="12" t="s">
        <v>150</v>
      </c>
      <c r="AC98" s="12"/>
      <c r="AD98" s="12" t="s">
        <v>150</v>
      </c>
      <c r="AE98" s="12"/>
      <c r="AF98" s="12" t="s">
        <v>150</v>
      </c>
      <c r="AG98" s="12" t="s">
        <v>387</v>
      </c>
    </row>
    <row r="99" spans="1:33" ht="117" x14ac:dyDescent="0.2">
      <c r="A99" s="10" t="s">
        <v>241</v>
      </c>
      <c r="B99" s="10" t="s">
        <v>124</v>
      </c>
      <c r="C99" s="10" t="s">
        <v>478</v>
      </c>
      <c r="D99" s="10" t="s">
        <v>729</v>
      </c>
      <c r="E99" s="10" t="s">
        <v>730</v>
      </c>
      <c r="F99" s="10" t="s">
        <v>479</v>
      </c>
      <c r="G99" s="21"/>
      <c r="H99" s="21"/>
      <c r="I99" s="21" t="s">
        <v>134</v>
      </c>
      <c r="J99" s="21" t="s">
        <v>134</v>
      </c>
      <c r="K99" s="21"/>
      <c r="L99" s="21"/>
      <c r="M99" s="21"/>
      <c r="N99" s="21"/>
      <c r="O99" s="21" t="s">
        <v>134</v>
      </c>
      <c r="P99" s="21"/>
      <c r="Q99" s="10" t="s">
        <v>296</v>
      </c>
      <c r="R99" s="10"/>
      <c r="S99" s="10"/>
      <c r="T99" s="10" t="s">
        <v>297</v>
      </c>
      <c r="U99" s="10" t="s">
        <v>260</v>
      </c>
      <c r="V99" s="10" t="s">
        <v>731</v>
      </c>
      <c r="W99" s="10">
        <v>2022</v>
      </c>
      <c r="X99" s="10">
        <v>2007</v>
      </c>
      <c r="Y99" s="10">
        <v>2017</v>
      </c>
      <c r="Z99" s="10" t="s">
        <v>143</v>
      </c>
      <c r="AA99" s="10" t="s">
        <v>732</v>
      </c>
      <c r="AB99" s="10" t="s">
        <v>150</v>
      </c>
      <c r="AC99" s="10"/>
      <c r="AD99" s="10" t="s">
        <v>150</v>
      </c>
      <c r="AE99" s="10"/>
      <c r="AF99" s="10" t="s">
        <v>150</v>
      </c>
      <c r="AG99" s="10" t="s">
        <v>141</v>
      </c>
    </row>
    <row r="100" spans="1:33" ht="117" x14ac:dyDescent="0.2">
      <c r="A100" s="12" t="s">
        <v>242</v>
      </c>
      <c r="B100" s="30" t="s">
        <v>124</v>
      </c>
      <c r="C100" s="12" t="s">
        <v>480</v>
      </c>
      <c r="D100" s="12" t="s">
        <v>733</v>
      </c>
      <c r="E100" s="12" t="s">
        <v>734</v>
      </c>
      <c r="F100" s="12" t="s">
        <v>481</v>
      </c>
      <c r="G100" s="21" t="s">
        <v>134</v>
      </c>
      <c r="H100" s="21"/>
      <c r="I100" s="21"/>
      <c r="J100" s="21"/>
      <c r="K100" s="21"/>
      <c r="L100" s="21"/>
      <c r="M100" s="21"/>
      <c r="N100" s="21"/>
      <c r="O100" s="21"/>
      <c r="P100" s="21"/>
      <c r="Q100" s="12" t="s">
        <v>68</v>
      </c>
      <c r="R100" s="12" t="s">
        <v>72</v>
      </c>
      <c r="S100" s="12"/>
      <c r="T100" s="12" t="s">
        <v>274</v>
      </c>
      <c r="U100" s="12" t="s">
        <v>372</v>
      </c>
      <c r="V100" s="12" t="s">
        <v>735</v>
      </c>
      <c r="W100" s="12">
        <v>2022</v>
      </c>
      <c r="X100" s="12">
        <v>2017</v>
      </c>
      <c r="Y100" s="12">
        <v>2017</v>
      </c>
      <c r="Z100" s="12" t="s">
        <v>143</v>
      </c>
      <c r="AA100" s="12" t="s">
        <v>736</v>
      </c>
      <c r="AB100" s="12" t="s">
        <v>1019</v>
      </c>
      <c r="AC100" s="12" t="s">
        <v>737</v>
      </c>
      <c r="AD100" s="12" t="s">
        <v>150</v>
      </c>
      <c r="AE100" s="12"/>
      <c r="AF100" s="12" t="s">
        <v>142</v>
      </c>
      <c r="AG100" s="12" t="s">
        <v>628</v>
      </c>
    </row>
    <row r="101" spans="1:33" ht="104" x14ac:dyDescent="0.2">
      <c r="A101" s="10" t="s">
        <v>243</v>
      </c>
      <c r="B101" s="10" t="s">
        <v>124</v>
      </c>
      <c r="C101" s="10" t="s">
        <v>482</v>
      </c>
      <c r="D101" s="10" t="s">
        <v>738</v>
      </c>
      <c r="E101" s="10" t="s">
        <v>739</v>
      </c>
      <c r="F101" s="10" t="s">
        <v>483</v>
      </c>
      <c r="G101" s="21" t="s">
        <v>134</v>
      </c>
      <c r="H101" s="21"/>
      <c r="I101" s="21"/>
      <c r="J101" s="21"/>
      <c r="K101" s="21"/>
      <c r="L101" s="21"/>
      <c r="M101" s="21"/>
      <c r="N101" s="21" t="s">
        <v>134</v>
      </c>
      <c r="O101" s="21"/>
      <c r="P101" s="21"/>
      <c r="Q101" s="10" t="s">
        <v>296</v>
      </c>
      <c r="R101" s="10" t="s">
        <v>68</v>
      </c>
      <c r="S101" s="10"/>
      <c r="T101" s="10" t="s">
        <v>372</v>
      </c>
      <c r="U101" s="10" t="s">
        <v>92</v>
      </c>
      <c r="V101" s="10" t="s">
        <v>741</v>
      </c>
      <c r="W101" s="10">
        <v>2023</v>
      </c>
      <c r="X101" s="10">
        <v>2015</v>
      </c>
      <c r="Y101" s="10">
        <v>2021</v>
      </c>
      <c r="Z101" s="10" t="s">
        <v>143</v>
      </c>
      <c r="AA101" s="10" t="s">
        <v>740</v>
      </c>
      <c r="AB101" s="10" t="s">
        <v>1019</v>
      </c>
      <c r="AC101" s="10" t="s">
        <v>742</v>
      </c>
      <c r="AD101" s="10" t="s">
        <v>134</v>
      </c>
      <c r="AE101" s="10" t="s">
        <v>742</v>
      </c>
      <c r="AF101" s="10" t="s">
        <v>142</v>
      </c>
      <c r="AG101" s="10" t="s">
        <v>138</v>
      </c>
    </row>
    <row r="102" spans="1:33" ht="104" x14ac:dyDescent="0.2">
      <c r="A102" s="12" t="s">
        <v>244</v>
      </c>
      <c r="B102" s="30" t="s">
        <v>124</v>
      </c>
      <c r="C102" s="12" t="s">
        <v>484</v>
      </c>
      <c r="D102" s="12" t="s">
        <v>743</v>
      </c>
      <c r="E102" s="12" t="s">
        <v>744</v>
      </c>
      <c r="F102" s="12" t="s">
        <v>485</v>
      </c>
      <c r="G102" s="21"/>
      <c r="H102" s="21" t="s">
        <v>134</v>
      </c>
      <c r="I102" s="21" t="s">
        <v>134</v>
      </c>
      <c r="J102" s="21"/>
      <c r="K102" s="21"/>
      <c r="L102" s="21"/>
      <c r="M102" s="21"/>
      <c r="N102" s="21"/>
      <c r="O102" s="21"/>
      <c r="P102" s="21"/>
      <c r="Q102" s="12" t="s">
        <v>72</v>
      </c>
      <c r="R102" s="12" t="s">
        <v>296</v>
      </c>
      <c r="S102" s="12"/>
      <c r="T102" s="12" t="s">
        <v>274</v>
      </c>
      <c r="U102" s="12" t="s">
        <v>745</v>
      </c>
      <c r="V102" s="12" t="s">
        <v>746</v>
      </c>
      <c r="W102" s="12">
        <v>2023</v>
      </c>
      <c r="X102" s="12">
        <v>2010</v>
      </c>
      <c r="Y102" s="12">
        <v>2019</v>
      </c>
      <c r="Z102" s="12" t="s">
        <v>140</v>
      </c>
      <c r="AA102" s="12" t="s">
        <v>747</v>
      </c>
      <c r="AB102" s="12" t="s">
        <v>1019</v>
      </c>
      <c r="AC102" s="12" t="s">
        <v>748</v>
      </c>
      <c r="AD102" s="12" t="s">
        <v>150</v>
      </c>
      <c r="AE102" s="12"/>
      <c r="AF102" s="12" t="s">
        <v>142</v>
      </c>
      <c r="AG102" s="12" t="s">
        <v>141</v>
      </c>
    </row>
    <row r="103" spans="1:33" ht="104" x14ac:dyDescent="0.2">
      <c r="A103" s="10" t="s">
        <v>245</v>
      </c>
      <c r="B103" s="10" t="s">
        <v>124</v>
      </c>
      <c r="C103" s="10" t="s">
        <v>486</v>
      </c>
      <c r="D103" s="10" t="s">
        <v>749</v>
      </c>
      <c r="E103" s="10" t="s">
        <v>750</v>
      </c>
      <c r="F103" s="10" t="s">
        <v>487</v>
      </c>
      <c r="G103" s="21"/>
      <c r="H103" s="21"/>
      <c r="I103" s="21"/>
      <c r="J103" s="21"/>
      <c r="K103" s="21"/>
      <c r="L103" s="21"/>
      <c r="M103" s="21"/>
      <c r="N103" s="21"/>
      <c r="O103" s="21" t="s">
        <v>134</v>
      </c>
      <c r="P103" s="21" t="s">
        <v>1021</v>
      </c>
      <c r="Q103" s="10" t="s">
        <v>66</v>
      </c>
      <c r="R103" s="10"/>
      <c r="S103" s="10"/>
      <c r="T103" s="10" t="s">
        <v>138</v>
      </c>
      <c r="U103" s="10"/>
      <c r="V103" s="10" t="s">
        <v>751</v>
      </c>
      <c r="W103" s="10">
        <v>2023</v>
      </c>
      <c r="X103" s="10">
        <v>1930</v>
      </c>
      <c r="Y103" s="10">
        <v>2019</v>
      </c>
      <c r="Z103" s="10" t="s">
        <v>143</v>
      </c>
      <c r="AA103" s="10" t="s">
        <v>752</v>
      </c>
      <c r="AB103" s="10" t="s">
        <v>134</v>
      </c>
      <c r="AC103" s="10" t="s">
        <v>754</v>
      </c>
      <c r="AD103" s="10" t="s">
        <v>134</v>
      </c>
      <c r="AE103" s="10" t="s">
        <v>754</v>
      </c>
      <c r="AF103" s="10" t="s">
        <v>134</v>
      </c>
      <c r="AG103" s="10" t="s">
        <v>753</v>
      </c>
    </row>
    <row r="104" spans="1:33" ht="104" x14ac:dyDescent="0.2">
      <c r="A104" s="12" t="s">
        <v>246</v>
      </c>
      <c r="B104" s="30" t="s">
        <v>124</v>
      </c>
      <c r="C104" s="12" t="s">
        <v>488</v>
      </c>
      <c r="D104" s="12" t="s">
        <v>755</v>
      </c>
      <c r="E104" s="12" t="s">
        <v>756</v>
      </c>
      <c r="F104" s="12" t="s">
        <v>489</v>
      </c>
      <c r="G104" s="21" t="s">
        <v>134</v>
      </c>
      <c r="H104" s="21"/>
      <c r="I104" s="21"/>
      <c r="J104" s="21"/>
      <c r="K104" s="21"/>
      <c r="L104" s="21" t="s">
        <v>134</v>
      </c>
      <c r="M104" s="21"/>
      <c r="N104" s="21"/>
      <c r="O104" s="21"/>
      <c r="P104" s="21"/>
      <c r="Q104" s="12" t="s">
        <v>296</v>
      </c>
      <c r="R104" s="12" t="s">
        <v>68</v>
      </c>
      <c r="S104" s="12"/>
      <c r="T104" s="12" t="s">
        <v>260</v>
      </c>
      <c r="U104" s="12" t="s">
        <v>372</v>
      </c>
      <c r="V104" s="12" t="s">
        <v>757</v>
      </c>
      <c r="W104" s="12">
        <v>2023</v>
      </c>
      <c r="X104" s="12">
        <v>2001</v>
      </c>
      <c r="Y104" s="12">
        <v>2017</v>
      </c>
      <c r="Z104" s="12" t="s">
        <v>143</v>
      </c>
      <c r="AA104" s="12" t="s">
        <v>758</v>
      </c>
      <c r="AB104" s="12" t="s">
        <v>1019</v>
      </c>
      <c r="AC104" s="12" t="s">
        <v>759</v>
      </c>
      <c r="AD104" s="12" t="s">
        <v>134</v>
      </c>
      <c r="AE104" s="12" t="s">
        <v>760</v>
      </c>
      <c r="AF104" s="12" t="s">
        <v>142</v>
      </c>
      <c r="AG104" s="12" t="s">
        <v>628</v>
      </c>
    </row>
    <row r="105" spans="1:33" ht="143" x14ac:dyDescent="0.2">
      <c r="A105" s="10" t="s">
        <v>247</v>
      </c>
      <c r="B105" s="10" t="s">
        <v>124</v>
      </c>
      <c r="C105" s="10" t="s">
        <v>490</v>
      </c>
      <c r="D105" s="10" t="s">
        <v>761</v>
      </c>
      <c r="E105" s="10" t="s">
        <v>762</v>
      </c>
      <c r="F105" s="10" t="s">
        <v>491</v>
      </c>
      <c r="G105" s="21"/>
      <c r="H105" s="21" t="s">
        <v>134</v>
      </c>
      <c r="I105" s="21"/>
      <c r="J105" s="21"/>
      <c r="K105" s="21"/>
      <c r="L105" s="21" t="s">
        <v>134</v>
      </c>
      <c r="M105" s="21" t="s">
        <v>134</v>
      </c>
      <c r="N105" s="21"/>
      <c r="O105" s="21"/>
      <c r="P105" s="21"/>
      <c r="Q105" s="10" t="s">
        <v>296</v>
      </c>
      <c r="R105" s="10"/>
      <c r="S105" s="10"/>
      <c r="T105" s="10" t="s">
        <v>297</v>
      </c>
      <c r="U105" s="10" t="s">
        <v>92</v>
      </c>
      <c r="V105" s="10" t="s">
        <v>763</v>
      </c>
      <c r="W105" s="10">
        <v>2024</v>
      </c>
      <c r="X105" s="10">
        <v>2009</v>
      </c>
      <c r="Y105" s="10">
        <v>2023</v>
      </c>
      <c r="Z105" s="10" t="s">
        <v>143</v>
      </c>
      <c r="AA105" s="10" t="s">
        <v>764</v>
      </c>
      <c r="AB105" s="10" t="s">
        <v>1019</v>
      </c>
      <c r="AC105" s="10" t="s">
        <v>766</v>
      </c>
      <c r="AD105" s="10" t="s">
        <v>134</v>
      </c>
      <c r="AE105" s="10" t="s">
        <v>765</v>
      </c>
      <c r="AF105" s="10" t="s">
        <v>142</v>
      </c>
      <c r="AG105" s="10" t="s">
        <v>141</v>
      </c>
    </row>
    <row r="106" spans="1:33" ht="130" x14ac:dyDescent="0.2">
      <c r="A106" s="12" t="s">
        <v>248</v>
      </c>
      <c r="B106" s="30" t="s">
        <v>124</v>
      </c>
      <c r="C106" s="12" t="s">
        <v>492</v>
      </c>
      <c r="D106" s="12" t="s">
        <v>767</v>
      </c>
      <c r="E106" s="12" t="s">
        <v>768</v>
      </c>
      <c r="F106" s="12" t="s">
        <v>493</v>
      </c>
      <c r="G106" s="21" t="s">
        <v>134</v>
      </c>
      <c r="H106" s="21"/>
      <c r="I106" s="21"/>
      <c r="J106" s="21"/>
      <c r="K106" s="21"/>
      <c r="L106" s="21"/>
      <c r="M106" s="21"/>
      <c r="N106" s="21"/>
      <c r="O106" s="21"/>
      <c r="P106" s="21" t="s">
        <v>1022</v>
      </c>
      <c r="Q106" s="12" t="s">
        <v>296</v>
      </c>
      <c r="R106" s="12" t="s">
        <v>68</v>
      </c>
      <c r="S106" s="12"/>
      <c r="T106" s="12" t="s">
        <v>297</v>
      </c>
      <c r="U106" s="12" t="s">
        <v>372</v>
      </c>
      <c r="V106" s="12" t="s">
        <v>769</v>
      </c>
      <c r="W106" s="12">
        <v>2024</v>
      </c>
      <c r="X106" s="12">
        <v>2003</v>
      </c>
      <c r="Y106" s="12">
        <v>2016</v>
      </c>
      <c r="Z106" s="12" t="s">
        <v>140</v>
      </c>
      <c r="AA106" s="12" t="s">
        <v>770</v>
      </c>
      <c r="AB106" s="12" t="s">
        <v>1019</v>
      </c>
      <c r="AC106" s="12" t="s">
        <v>771</v>
      </c>
      <c r="AD106" s="12" t="s">
        <v>134</v>
      </c>
      <c r="AE106" s="12" t="s">
        <v>772</v>
      </c>
      <c r="AF106" s="12" t="s">
        <v>142</v>
      </c>
      <c r="AG106" s="12" t="s">
        <v>141</v>
      </c>
    </row>
    <row r="107" spans="1:33" ht="130" x14ac:dyDescent="0.2">
      <c r="A107" s="10" t="s">
        <v>249</v>
      </c>
      <c r="B107" s="10" t="s">
        <v>124</v>
      </c>
      <c r="C107" s="10" t="s">
        <v>494</v>
      </c>
      <c r="D107" s="10" t="s">
        <v>773</v>
      </c>
      <c r="E107" s="10" t="s">
        <v>774</v>
      </c>
      <c r="F107" s="10" t="s">
        <v>495</v>
      </c>
      <c r="G107" s="21"/>
      <c r="H107" s="21" t="s">
        <v>134</v>
      </c>
      <c r="I107" s="21"/>
      <c r="J107" s="21"/>
      <c r="K107" s="21"/>
      <c r="L107" s="21"/>
      <c r="M107" s="21" t="s">
        <v>134</v>
      </c>
      <c r="N107" s="21"/>
      <c r="O107" s="21"/>
      <c r="P107" s="21"/>
      <c r="Q107" s="10" t="s">
        <v>296</v>
      </c>
      <c r="R107" s="10" t="s">
        <v>70</v>
      </c>
      <c r="S107" s="10"/>
      <c r="T107" s="10" t="s">
        <v>92</v>
      </c>
      <c r="U107" s="10" t="s">
        <v>297</v>
      </c>
      <c r="V107" s="10" t="s">
        <v>775</v>
      </c>
      <c r="W107" s="10">
        <v>2024</v>
      </c>
      <c r="X107" s="10">
        <v>1990</v>
      </c>
      <c r="Y107" s="10">
        <v>2015</v>
      </c>
      <c r="Z107" s="10" t="s">
        <v>139</v>
      </c>
      <c r="AA107" s="10" t="s">
        <v>1052</v>
      </c>
      <c r="AB107" s="10" t="s">
        <v>142</v>
      </c>
      <c r="AC107" s="10" t="s">
        <v>776</v>
      </c>
      <c r="AD107" s="10" t="s">
        <v>134</v>
      </c>
      <c r="AE107" s="10" t="s">
        <v>776</v>
      </c>
      <c r="AF107" s="10" t="s">
        <v>142</v>
      </c>
      <c r="AG107" s="10" t="s">
        <v>141</v>
      </c>
    </row>
    <row r="108" spans="1:33" ht="195" x14ac:dyDescent="0.2">
      <c r="A108" s="12" t="s">
        <v>250</v>
      </c>
      <c r="B108" s="30" t="s">
        <v>124</v>
      </c>
      <c r="C108" s="12" t="s">
        <v>496</v>
      </c>
      <c r="D108" s="12" t="s">
        <v>777</v>
      </c>
      <c r="E108" s="12" t="s">
        <v>778</v>
      </c>
      <c r="F108" s="12" t="s">
        <v>497</v>
      </c>
      <c r="G108" s="21" t="s">
        <v>134</v>
      </c>
      <c r="H108" s="21"/>
      <c r="I108" s="21"/>
      <c r="J108" s="21"/>
      <c r="K108" s="21"/>
      <c r="L108" s="21"/>
      <c r="M108" s="21"/>
      <c r="N108" s="21"/>
      <c r="O108" s="21"/>
      <c r="P108" s="21"/>
      <c r="Q108" s="12" t="s">
        <v>296</v>
      </c>
      <c r="R108" s="12" t="s">
        <v>68</v>
      </c>
      <c r="S108" s="12"/>
      <c r="T108" s="12" t="s">
        <v>92</v>
      </c>
      <c r="U108" s="12" t="s">
        <v>372</v>
      </c>
      <c r="V108" s="12" t="s">
        <v>779</v>
      </c>
      <c r="W108" s="12">
        <v>2024</v>
      </c>
      <c r="X108" s="12">
        <v>1995</v>
      </c>
      <c r="Y108" s="12">
        <v>2020</v>
      </c>
      <c r="Z108" s="12" t="s">
        <v>143</v>
      </c>
      <c r="AA108" s="12" t="s">
        <v>780</v>
      </c>
      <c r="AB108" s="12" t="s">
        <v>1019</v>
      </c>
      <c r="AC108" s="12" t="s">
        <v>781</v>
      </c>
      <c r="AD108" s="12" t="s">
        <v>134</v>
      </c>
      <c r="AE108" s="12" t="s">
        <v>781</v>
      </c>
      <c r="AF108" s="12" t="s">
        <v>134</v>
      </c>
      <c r="AG108" s="12" t="s">
        <v>138</v>
      </c>
    </row>
    <row r="109" spans="1:33" ht="104" x14ac:dyDescent="0.2">
      <c r="A109" s="10" t="s">
        <v>251</v>
      </c>
      <c r="B109" s="10" t="s">
        <v>124</v>
      </c>
      <c r="C109" s="10" t="s">
        <v>498</v>
      </c>
      <c r="D109" s="10" t="s">
        <v>782</v>
      </c>
      <c r="E109" s="10" t="s">
        <v>783</v>
      </c>
      <c r="F109" s="10" t="s">
        <v>499</v>
      </c>
      <c r="G109" s="21" t="s">
        <v>134</v>
      </c>
      <c r="H109" s="21" t="s">
        <v>134</v>
      </c>
      <c r="I109" s="21"/>
      <c r="J109" s="21"/>
      <c r="K109" s="21"/>
      <c r="L109" s="21"/>
      <c r="M109" s="21"/>
      <c r="N109" s="21"/>
      <c r="O109" s="21"/>
      <c r="P109" s="21"/>
      <c r="Q109" s="10" t="s">
        <v>66</v>
      </c>
      <c r="R109" s="10" t="s">
        <v>296</v>
      </c>
      <c r="S109" s="10"/>
      <c r="T109" s="10" t="s">
        <v>287</v>
      </c>
      <c r="U109" s="10" t="s">
        <v>260</v>
      </c>
      <c r="V109" s="10" t="s">
        <v>784</v>
      </c>
      <c r="W109" s="10">
        <v>2024</v>
      </c>
      <c r="X109" s="10">
        <v>2002</v>
      </c>
      <c r="Y109" s="10">
        <v>2018</v>
      </c>
      <c r="Z109" s="10" t="s">
        <v>143</v>
      </c>
      <c r="AA109" s="10" t="s">
        <v>785</v>
      </c>
      <c r="AB109" s="10" t="s">
        <v>150</v>
      </c>
      <c r="AC109" s="10"/>
      <c r="AD109" s="10" t="s">
        <v>134</v>
      </c>
      <c r="AE109" s="10" t="s">
        <v>786</v>
      </c>
      <c r="AF109" s="10" t="s">
        <v>142</v>
      </c>
      <c r="AG109" s="10" t="s">
        <v>141</v>
      </c>
    </row>
    <row r="110" spans="1:33" ht="169" x14ac:dyDescent="0.2">
      <c r="A110" s="12" t="s">
        <v>252</v>
      </c>
      <c r="B110" s="30" t="s">
        <v>124</v>
      </c>
      <c r="C110" s="12" t="s">
        <v>500</v>
      </c>
      <c r="D110" s="12" t="s">
        <v>788</v>
      </c>
      <c r="E110" s="12" t="s">
        <v>789</v>
      </c>
      <c r="F110" s="12" t="s">
        <v>501</v>
      </c>
      <c r="G110" s="21"/>
      <c r="H110" s="21"/>
      <c r="I110" s="21" t="s">
        <v>134</v>
      </c>
      <c r="J110" s="21" t="s">
        <v>134</v>
      </c>
      <c r="K110" s="21"/>
      <c r="L110" s="21"/>
      <c r="M110" s="21"/>
      <c r="N110" s="21"/>
      <c r="O110" s="21" t="s">
        <v>134</v>
      </c>
      <c r="P110" s="21"/>
      <c r="Q110" s="12" t="s">
        <v>296</v>
      </c>
      <c r="R110" s="12"/>
      <c r="S110" s="12"/>
      <c r="T110" s="12" t="s">
        <v>297</v>
      </c>
      <c r="U110" s="12" t="s">
        <v>260</v>
      </c>
      <c r="V110" s="12" t="s">
        <v>790</v>
      </c>
      <c r="W110" s="12">
        <v>2025</v>
      </c>
      <c r="X110" s="12">
        <v>2013</v>
      </c>
      <c r="Y110" s="12">
        <v>2020</v>
      </c>
      <c r="Z110" s="12" t="s">
        <v>143</v>
      </c>
      <c r="AA110" s="12" t="s">
        <v>791</v>
      </c>
      <c r="AB110" s="12" t="s">
        <v>150</v>
      </c>
      <c r="AC110" s="12"/>
      <c r="AD110" s="12" t="s">
        <v>134</v>
      </c>
      <c r="AE110" s="12" t="s">
        <v>792</v>
      </c>
      <c r="AF110" s="12" t="s">
        <v>150</v>
      </c>
      <c r="AG110" s="12" t="s">
        <v>387</v>
      </c>
    </row>
    <row r="111" spans="1:33" ht="182" x14ac:dyDescent="0.2">
      <c r="A111" s="10" t="s">
        <v>253</v>
      </c>
      <c r="B111" s="10" t="s">
        <v>124</v>
      </c>
      <c r="C111" s="10" t="s">
        <v>502</v>
      </c>
      <c r="D111" s="10" t="s">
        <v>793</v>
      </c>
      <c r="E111" s="10" t="s">
        <v>794</v>
      </c>
      <c r="F111" s="10" t="s">
        <v>503</v>
      </c>
      <c r="G111" s="21" t="s">
        <v>134</v>
      </c>
      <c r="H111" s="21"/>
      <c r="I111" s="21"/>
      <c r="J111" s="21"/>
      <c r="K111" s="21"/>
      <c r="L111" s="21" t="s">
        <v>134</v>
      </c>
      <c r="M111" s="21"/>
      <c r="N111" s="21"/>
      <c r="O111" s="21"/>
      <c r="P111" s="21"/>
      <c r="Q111" s="10" t="s">
        <v>296</v>
      </c>
      <c r="R111" s="10"/>
      <c r="S111" s="10"/>
      <c r="T111" s="10" t="s">
        <v>297</v>
      </c>
      <c r="U111" s="10" t="s">
        <v>260</v>
      </c>
      <c r="V111" s="10" t="s">
        <v>795</v>
      </c>
      <c r="W111" s="10">
        <v>2026</v>
      </c>
      <c r="X111" s="10">
        <v>1997</v>
      </c>
      <c r="Y111" s="10">
        <v>2018</v>
      </c>
      <c r="Z111" s="10" t="s">
        <v>140</v>
      </c>
      <c r="AA111" s="10" t="s">
        <v>796</v>
      </c>
      <c r="AB111" s="10" t="s">
        <v>142</v>
      </c>
      <c r="AC111" s="10" t="s">
        <v>797</v>
      </c>
      <c r="AD111" s="10" t="s">
        <v>134</v>
      </c>
      <c r="AE111" s="10" t="s">
        <v>797</v>
      </c>
      <c r="AF111" s="10" t="s">
        <v>142</v>
      </c>
      <c r="AG111" s="10" t="s">
        <v>628</v>
      </c>
    </row>
    <row r="112" spans="1:33" x14ac:dyDescent="0.2">
      <c r="R112" s="12"/>
    </row>
  </sheetData>
  <autoFilter ref="A2:AG111" xr:uid="{00000000-0001-0000-0100-000000000000}"/>
  <sortState xmlns:xlrd2="http://schemas.microsoft.com/office/spreadsheetml/2017/richdata2" ref="A3:AG111">
    <sortCondition ref="B3:B111"/>
  </sortState>
  <mergeCells count="7">
    <mergeCell ref="A1:F1"/>
    <mergeCell ref="T1:V1"/>
    <mergeCell ref="AB1:AF1"/>
    <mergeCell ref="G1:P1"/>
    <mergeCell ref="W1:Y1"/>
    <mergeCell ref="Q1:S1"/>
    <mergeCell ref="Z1:AA1"/>
  </mergeCells>
  <phoneticPr fontId="8" type="noConversion"/>
  <dataValidations count="9">
    <dataValidation type="list" allowBlank="1" sqref="AB44:AB46 AD57:AD58 AB48:AB55 AD48:AD55 AB24:AB25 AB17:AB22 AD17:AD25 AF3:AF111" xr:uid="{00000000-0002-0000-0100-000007000000}">
      <formula1>"Y,N,Partial"</formula1>
    </dataValidation>
    <dataValidation type="list" allowBlank="1" sqref="AG3:AG7 AG9:AG111" xr:uid="{00000000-0002-0000-0100-000009000000}">
      <formula1>"Firm-Year,Firm-Quarter,Document-Level,Country-Year,Asset-Level,Portfolio-Level,Other"</formula1>
    </dataValidation>
    <dataValidation type="list" allowBlank="1" sqref="W8" xr:uid="{EA725D13-A494-584A-8C61-2AC0A81F1180}">
      <formula1>"SEC Filings, ESMA Filings, CDP Reports, TCFD Reports, Earnings Call transcripts, Satellite Imagery, Weather &amp; Hazard, News &amp; Media, Social Media, Official Statistics, Survey Data, Market Data, Other "</formula1>
    </dataValidation>
    <dataValidation type="list" allowBlank="1" sqref="Z3:Z7 AA109 Z9:Z111" xr:uid="{00000000-0002-0000-0100-000006000000}">
      <formula1>"US,Europe,Global,Emerging Markets,Asia-Pacific,Other / Regional"</formula1>
    </dataValidation>
    <dataValidation type="list" allowBlank="1" sqref="AB47 AD56 AC61 AE61 AD3:AD16 AD26:AD47 AB23 AB26:AB39 AB56:AB111 AD59:AD111" xr:uid="{363ABC03-35CC-674F-8859-94723AA6779A}">
      <formula1>"Y,N,Partial, On Demand"</formula1>
    </dataValidation>
    <dataValidation type="list" allowBlank="1" showInputMessage="1" showErrorMessage="1" sqref="AB3:AB16 AB40:AB43" xr:uid="{8A706B6E-395C-624D-94CD-78556DAEA748}">
      <formula1>"Y, N, Partial, On Demand, Raw Data"</formula1>
    </dataValidation>
    <dataValidation type="list" allowBlank="1" sqref="Q3:Q111 R3:R112" xr:uid="{24DE2CEA-3C85-534D-8794-B5D2B8CB0910}">
      <formula1>"NLP / Textual Analysis,Satellite &amp; Remote Sensing,Regulatory Filing Parsing,Survey Instrument,Machine Learning (non-NLP),Standard Econometrics Accounting / Market Data,Meta-Analysis / Systematic Review,Experiment,Other"</formula1>
    </dataValidation>
    <dataValidation type="list" allowBlank="1" sqref="G3:O111" xr:uid="{00000000-0002-0000-0100-000000000000}">
      <formula1>"Y"</formula1>
    </dataValidation>
    <dataValidation type="list" allowBlank="1" sqref="T3:U111" xr:uid="{4140DA1F-EBC7-5445-8DAE-7A1C5F96B7C5}">
      <formula1>"SEC Filings, ESMA Filings, CDP Reports, TCFD Reports, Earnings Call transcripts, Satellite Imagery, Weather &amp; Hazard, News &amp; Media, Social Media, Official Statistics, Survey Data, Market Data, Proprietary Database, Other"</formula1>
    </dataValidation>
  </dataValidations>
  <hyperlinks>
    <hyperlink ref="F9" r:id="rId1" xr:uid="{DBD1C3F9-0433-534D-98E6-0892874305EF}"/>
    <hyperlink ref="F10" r:id="rId2" xr:uid="{21EDEBA2-6370-3C43-BFED-C6ECD1A5A0B1}"/>
    <hyperlink ref="F11" r:id="rId3" xr:uid="{2492AB7D-5C46-8149-8A39-2EC670A012F4}"/>
    <hyperlink ref="F12" r:id="rId4" xr:uid="{5C530CE8-9DA4-B14F-A8B8-EF533DBEDE36}"/>
    <hyperlink ref="F13" r:id="rId5" xr:uid="{F50D13B9-7D87-4D41-B905-70B21225F7CF}"/>
    <hyperlink ref="F14" r:id="rId6" xr:uid="{1585BC7B-4DB0-DB47-83C3-B4E58F8D417C}"/>
    <hyperlink ref="F15" r:id="rId7" xr:uid="{EB539996-804D-6F43-8474-FD4E3E946431}"/>
    <hyperlink ref="F16" r:id="rId8" xr:uid="{F2ECA861-CDC1-7C46-A097-3919E990A69A}"/>
    <hyperlink ref="F60" r:id="rId9" xr:uid="{94CBFCAF-BBCE-F644-92D9-74E4972F863A}"/>
    <hyperlink ref="F69" r:id="rId10" xr:uid="{509CE55D-91BD-3B44-9AE2-7AD390D0E35C}"/>
    <hyperlink ref="F74" r:id="rId11" xr:uid="{A7C08DFE-CD71-E245-B25D-6ADC18943867}"/>
    <hyperlink ref="AC76" r:id="rId12" display="mailto:gjwang@shnu.edu.cn" xr:uid="{0274C65C-B834-164A-A729-218DF0B91892}"/>
    <hyperlink ref="AC77" r:id="rId13" display="mailto:jnc29@psu.edu" xr:uid="{65FE5401-0520-7840-B2F8-98347FB46A63}"/>
    <hyperlink ref="AC93" r:id="rId14" xr:uid="{E90712B9-6FE3-904B-BBD4-72B641A7ECAC}"/>
    <hyperlink ref="AE55" r:id="rId15" xr:uid="{A19F45BB-83E9-5447-BF9B-8C7315C46E45}"/>
    <hyperlink ref="F109" r:id="rId16" xr:uid="{263B7211-95DE-F842-B360-9C15A3A62619}"/>
    <hyperlink ref="F105" r:id="rId17" xr:uid="{A31FE3EA-548F-EC42-8E87-2CC29DF5181B}"/>
    <hyperlink ref="F65" r:id="rId18" xr:uid="{55DB2BCF-FAB6-AF44-BFBE-1FA8DACC26FF}"/>
    <hyperlink ref="F61" r:id="rId19" xr:uid="{6E6AB7ED-C40E-E148-8CE1-E865C8B82E0C}"/>
    <hyperlink ref="F64" r:id="rId20" xr:uid="{25404ED2-EB8F-9F4B-9F07-7FAA399681B6}"/>
    <hyperlink ref="F21" r:id="rId21" xr:uid="{7760ED85-AE97-704C-8794-8E5D5AF4E750}"/>
    <hyperlink ref="F20" r:id="rId22" xr:uid="{3924A5F6-F1D1-4A4F-BA20-5CDEB5523A82}"/>
    <hyperlink ref="AC29" r:id="rId23" xr:uid="{232F8128-609C-3845-B9E0-CF389AFFB7AD}"/>
    <hyperlink ref="AC20" r:id="rId24" display="mailto:jfinancialeconomics@gmail.com" xr:uid="{B4AF8A59-1531-A14F-9BBB-A6453A7F8A68}"/>
    <hyperlink ref="AE20" r:id="rId25" display="mailto:jfinancialeconomics@gmail.com" xr:uid="{BEFB74E3-B7A8-F94F-8E9E-907AC9DE9C7D}"/>
    <hyperlink ref="AC83" r:id="rId26" xr:uid="{64EEF34A-F4EA-E84D-BA37-BA7E755D80FD}"/>
    <hyperlink ref="F84" r:id="rId27" xr:uid="{24CEA410-C424-7744-A804-1D06FC62643B}"/>
  </hyperlinks>
  <pageMargins left="0.75" right="0.75" top="1" bottom="1" header="0.5" footer="0.5"/>
  <legacyDrawing r:id="rId2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0"/>
  <sheetViews>
    <sheetView topLeftCell="A25" workbookViewId="0">
      <selection activeCell="G5" sqref="G5"/>
    </sheetView>
  </sheetViews>
  <sheetFormatPr baseColWidth="10" defaultColWidth="8.83203125" defaultRowHeight="15" x14ac:dyDescent="0.2"/>
  <cols>
    <col min="1" max="1" width="22" customWidth="1"/>
    <col min="2" max="2" width="26" customWidth="1"/>
    <col min="3" max="3" width="55" customWidth="1"/>
  </cols>
  <sheetData>
    <row r="1" spans="1:3" ht="24" customHeight="1" x14ac:dyDescent="0.2">
      <c r="A1" s="57" t="s">
        <v>44</v>
      </c>
      <c r="B1" s="37"/>
      <c r="C1" s="37"/>
    </row>
    <row r="2" spans="1:3" ht="20" customHeight="1" x14ac:dyDescent="0.2">
      <c r="A2" s="14" t="s">
        <v>45</v>
      </c>
      <c r="B2" s="14" t="s">
        <v>46</v>
      </c>
      <c r="C2" s="14" t="s">
        <v>47</v>
      </c>
    </row>
    <row r="3" spans="1:3" ht="32" customHeight="1" x14ac:dyDescent="0.2">
      <c r="A3" s="15" t="s">
        <v>1035</v>
      </c>
      <c r="B3" s="16" t="s">
        <v>116</v>
      </c>
      <c r="C3" s="16" t="s">
        <v>1036</v>
      </c>
    </row>
    <row r="4" spans="1:3" ht="32" customHeight="1" x14ac:dyDescent="0.2">
      <c r="A4" s="15" t="s">
        <v>48</v>
      </c>
      <c r="B4" s="16" t="s">
        <v>49</v>
      </c>
      <c r="C4" s="16" t="s">
        <v>50</v>
      </c>
    </row>
    <row r="5" spans="1:3" ht="32" customHeight="1" x14ac:dyDescent="0.2">
      <c r="A5" s="13"/>
      <c r="B5" s="13" t="s">
        <v>51</v>
      </c>
      <c r="C5" s="13" t="s">
        <v>52</v>
      </c>
    </row>
    <row r="6" spans="1:3" ht="32" customHeight="1" x14ac:dyDescent="0.2">
      <c r="A6" s="13"/>
      <c r="B6" s="16" t="s">
        <v>53</v>
      </c>
      <c r="C6" s="16" t="s">
        <v>54</v>
      </c>
    </row>
    <row r="7" spans="1:3" ht="32" customHeight="1" x14ac:dyDescent="0.2">
      <c r="A7" s="13"/>
      <c r="B7" s="13" t="s">
        <v>55</v>
      </c>
      <c r="C7" s="13" t="s">
        <v>56</v>
      </c>
    </row>
    <row r="8" spans="1:3" ht="32" customHeight="1" x14ac:dyDescent="0.2">
      <c r="A8" s="13"/>
      <c r="B8" s="16" t="s">
        <v>57</v>
      </c>
      <c r="C8" s="16" t="s">
        <v>58</v>
      </c>
    </row>
    <row r="9" spans="1:3" ht="32" customHeight="1" x14ac:dyDescent="0.2">
      <c r="A9" s="13"/>
      <c r="B9" s="13" t="s">
        <v>59</v>
      </c>
      <c r="C9" s="13" t="s">
        <v>60</v>
      </c>
    </row>
    <row r="10" spans="1:3" ht="32" customHeight="1" x14ac:dyDescent="0.2">
      <c r="A10" s="13"/>
      <c r="B10" s="16" t="s">
        <v>61</v>
      </c>
      <c r="C10" s="16" t="s">
        <v>62</v>
      </c>
    </row>
    <row r="11" spans="1:3" ht="32" customHeight="1" x14ac:dyDescent="0.2">
      <c r="A11" s="13"/>
      <c r="B11" s="13" t="s">
        <v>14</v>
      </c>
      <c r="C11" s="13" t="s">
        <v>63</v>
      </c>
    </row>
    <row r="12" spans="1:3" ht="32" customHeight="1" x14ac:dyDescent="0.2">
      <c r="A12" s="13"/>
      <c r="B12" s="16" t="s">
        <v>64</v>
      </c>
      <c r="C12" s="16" t="s">
        <v>65</v>
      </c>
    </row>
    <row r="13" spans="1:3" ht="32" customHeight="1" x14ac:dyDescent="0.2">
      <c r="A13" s="15" t="s">
        <v>1</v>
      </c>
      <c r="B13" s="13" t="s">
        <v>66</v>
      </c>
      <c r="C13" s="13" t="s">
        <v>67</v>
      </c>
    </row>
    <row r="14" spans="1:3" ht="32" customHeight="1" x14ac:dyDescent="0.2">
      <c r="A14" s="13"/>
      <c r="B14" s="16" t="s">
        <v>68</v>
      </c>
      <c r="C14" s="16" t="s">
        <v>69</v>
      </c>
    </row>
    <row r="15" spans="1:3" ht="32" customHeight="1" x14ac:dyDescent="0.2">
      <c r="A15" s="13"/>
      <c r="B15" s="13" t="s">
        <v>70</v>
      </c>
      <c r="C15" s="13" t="s">
        <v>71</v>
      </c>
    </row>
    <row r="16" spans="1:3" ht="32" customHeight="1" x14ac:dyDescent="0.2">
      <c r="A16" s="13"/>
      <c r="B16" s="16" t="s">
        <v>72</v>
      </c>
      <c r="C16" s="16" t="s">
        <v>73</v>
      </c>
    </row>
    <row r="17" spans="1:3" ht="32" customHeight="1" x14ac:dyDescent="0.2">
      <c r="A17" s="13"/>
      <c r="B17" s="13" t="s">
        <v>74</v>
      </c>
      <c r="C17" s="13" t="s">
        <v>75</v>
      </c>
    </row>
    <row r="18" spans="1:3" ht="32" customHeight="1" x14ac:dyDescent="0.2">
      <c r="A18" s="13"/>
      <c r="B18" s="16" t="s">
        <v>76</v>
      </c>
      <c r="C18" s="16" t="s">
        <v>77</v>
      </c>
    </row>
    <row r="19" spans="1:3" ht="32" customHeight="1" x14ac:dyDescent="0.2">
      <c r="A19" s="13"/>
      <c r="B19" s="13" t="s">
        <v>78</v>
      </c>
      <c r="C19" s="13" t="s">
        <v>79</v>
      </c>
    </row>
    <row r="20" spans="1:3" ht="32" customHeight="1" x14ac:dyDescent="0.2">
      <c r="A20" s="15" t="s">
        <v>2</v>
      </c>
      <c r="B20" s="16" t="s">
        <v>80</v>
      </c>
      <c r="C20" s="16" t="s">
        <v>81</v>
      </c>
    </row>
    <row r="21" spans="1:3" ht="32" customHeight="1" x14ac:dyDescent="0.2">
      <c r="A21" s="13"/>
      <c r="B21" s="13" t="s">
        <v>82</v>
      </c>
      <c r="C21" s="13" t="s">
        <v>83</v>
      </c>
    </row>
    <row r="22" spans="1:3" ht="32" customHeight="1" x14ac:dyDescent="0.2">
      <c r="A22" s="13"/>
      <c r="B22" s="16" t="s">
        <v>84</v>
      </c>
      <c r="C22" s="16" t="s">
        <v>85</v>
      </c>
    </row>
    <row r="23" spans="1:3" ht="32" customHeight="1" x14ac:dyDescent="0.2">
      <c r="A23" s="13"/>
      <c r="B23" s="13" t="s">
        <v>86</v>
      </c>
      <c r="C23" s="13" t="s">
        <v>87</v>
      </c>
    </row>
    <row r="24" spans="1:3" ht="32" customHeight="1" x14ac:dyDescent="0.2">
      <c r="A24" s="13"/>
      <c r="B24" s="16" t="s">
        <v>88</v>
      </c>
      <c r="C24" s="16" t="s">
        <v>89</v>
      </c>
    </row>
    <row r="25" spans="1:3" ht="32" customHeight="1" x14ac:dyDescent="0.2">
      <c r="A25" s="13"/>
      <c r="B25" s="13" t="s">
        <v>90</v>
      </c>
      <c r="C25" s="13" t="s">
        <v>91</v>
      </c>
    </row>
    <row r="26" spans="1:3" ht="32" customHeight="1" x14ac:dyDescent="0.2">
      <c r="A26" s="13"/>
      <c r="B26" s="16" t="s">
        <v>92</v>
      </c>
      <c r="C26" s="16" t="s">
        <v>93</v>
      </c>
    </row>
    <row r="27" spans="1:3" ht="32" customHeight="1" x14ac:dyDescent="0.2">
      <c r="A27" s="15" t="s">
        <v>27</v>
      </c>
      <c r="B27" s="13" t="s">
        <v>94</v>
      </c>
      <c r="C27" s="13" t="s">
        <v>95</v>
      </c>
    </row>
    <row r="28" spans="1:3" ht="32" customHeight="1" x14ac:dyDescent="0.2">
      <c r="A28" s="13"/>
      <c r="B28" s="16" t="s">
        <v>96</v>
      </c>
      <c r="C28" s="16" t="s">
        <v>97</v>
      </c>
    </row>
    <row r="29" spans="1:3" ht="32" customHeight="1" x14ac:dyDescent="0.2">
      <c r="A29" s="13"/>
      <c r="B29" s="13" t="s">
        <v>98</v>
      </c>
      <c r="C29" s="13" t="s">
        <v>99</v>
      </c>
    </row>
    <row r="30" spans="1:3" ht="32" customHeight="1" x14ac:dyDescent="0.2">
      <c r="A30" s="13"/>
      <c r="B30" s="16" t="s">
        <v>100</v>
      </c>
      <c r="C30" s="16" t="s">
        <v>101</v>
      </c>
    </row>
    <row r="31" spans="1:3" ht="32" customHeight="1" x14ac:dyDescent="0.2">
      <c r="A31" s="15" t="s">
        <v>102</v>
      </c>
      <c r="B31" s="13" t="s">
        <v>6</v>
      </c>
      <c r="C31" s="13" t="s">
        <v>103</v>
      </c>
    </row>
    <row r="32" spans="1:3" ht="32" customHeight="1" x14ac:dyDescent="0.2">
      <c r="A32" s="13"/>
      <c r="B32" s="16" t="s">
        <v>7</v>
      </c>
      <c r="C32" s="16" t="s">
        <v>104</v>
      </c>
    </row>
    <row r="33" spans="1:3" ht="32" customHeight="1" x14ac:dyDescent="0.2">
      <c r="A33" s="13"/>
      <c r="B33" s="13" t="s">
        <v>8</v>
      </c>
      <c r="C33" s="13" t="s">
        <v>105</v>
      </c>
    </row>
    <row r="34" spans="1:3" ht="32" customHeight="1" x14ac:dyDescent="0.2">
      <c r="A34" s="15" t="s">
        <v>106</v>
      </c>
      <c r="B34" s="16" t="s">
        <v>41</v>
      </c>
      <c r="C34" s="16" t="s">
        <v>107</v>
      </c>
    </row>
    <row r="35" spans="1:3" ht="32" customHeight="1" x14ac:dyDescent="0.2">
      <c r="A35" s="13"/>
      <c r="B35" s="13" t="s">
        <v>9</v>
      </c>
      <c r="C35" s="13" t="s">
        <v>108</v>
      </c>
    </row>
    <row r="36" spans="1:3" ht="32" customHeight="1" x14ac:dyDescent="0.2">
      <c r="A36" s="13"/>
      <c r="B36" s="16" t="s">
        <v>10</v>
      </c>
      <c r="C36" s="16" t="s">
        <v>109</v>
      </c>
    </row>
    <row r="37" spans="1:3" ht="32" customHeight="1" x14ac:dyDescent="0.2">
      <c r="A37" s="15" t="s">
        <v>4</v>
      </c>
      <c r="B37" s="13" t="s">
        <v>110</v>
      </c>
      <c r="C37" s="13" t="s">
        <v>111</v>
      </c>
    </row>
    <row r="38" spans="1:3" ht="32" customHeight="1" x14ac:dyDescent="0.2">
      <c r="A38" s="13"/>
      <c r="B38" s="16" t="s">
        <v>11</v>
      </c>
      <c r="C38" s="16" t="s">
        <v>112</v>
      </c>
    </row>
    <row r="39" spans="1:3" ht="32" customHeight="1" x14ac:dyDescent="0.2">
      <c r="A39" s="13"/>
      <c r="B39" s="13" t="s">
        <v>113</v>
      </c>
      <c r="C39" s="13" t="s">
        <v>114</v>
      </c>
    </row>
    <row r="40" spans="1:3" ht="32" customHeight="1" x14ac:dyDescent="0.2">
      <c r="A40" s="15" t="s">
        <v>115</v>
      </c>
      <c r="B40" s="16" t="s">
        <v>116</v>
      </c>
      <c r="C40" s="16" t="s">
        <v>117</v>
      </c>
    </row>
  </sheetData>
  <mergeCells count="1">
    <mergeCell ref="A1:C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0F5D0-6006-FF49-B46C-78789857AC63}">
  <dimension ref="A1:F21"/>
  <sheetViews>
    <sheetView zoomScale="87" workbookViewId="0">
      <selection activeCell="A9" sqref="A9:E9"/>
    </sheetView>
  </sheetViews>
  <sheetFormatPr baseColWidth="10" defaultColWidth="8.83203125" defaultRowHeight="15" x14ac:dyDescent="0.2"/>
  <cols>
    <col min="1" max="1" width="89.1640625" bestFit="1" customWidth="1"/>
    <col min="2" max="2" width="12" bestFit="1" customWidth="1"/>
    <col min="3" max="3" width="16.33203125" bestFit="1" customWidth="1"/>
    <col min="4" max="4" width="14" bestFit="1" customWidth="1"/>
    <col min="5" max="5" width="30.83203125" bestFit="1" customWidth="1"/>
    <col min="6" max="6" width="62.1640625" customWidth="1"/>
  </cols>
  <sheetData>
    <row r="1" spans="1:6" x14ac:dyDescent="0.2">
      <c r="A1" s="35" t="s">
        <v>1055</v>
      </c>
      <c r="B1" s="35"/>
      <c r="C1" s="35"/>
      <c r="D1" s="35"/>
      <c r="E1" s="35"/>
      <c r="F1" s="35"/>
    </row>
    <row r="2" spans="1:6" ht="49" customHeight="1" x14ac:dyDescent="0.2">
      <c r="A2" s="14" t="s">
        <v>118</v>
      </c>
      <c r="B2" s="14" t="s">
        <v>988</v>
      </c>
      <c r="C2" s="14" t="s">
        <v>119</v>
      </c>
      <c r="D2" s="14" t="s">
        <v>989</v>
      </c>
      <c r="E2" s="14" t="s">
        <v>120</v>
      </c>
      <c r="F2" s="14" t="s">
        <v>1040</v>
      </c>
    </row>
    <row r="3" spans="1:6" x14ac:dyDescent="0.2">
      <c r="A3" s="11" t="s">
        <v>122</v>
      </c>
      <c r="B3" s="10" t="s">
        <v>990</v>
      </c>
      <c r="C3" s="10">
        <v>18</v>
      </c>
      <c r="D3" s="10">
        <v>15</v>
      </c>
      <c r="E3" s="10">
        <v>14</v>
      </c>
      <c r="F3" s="31" t="s">
        <v>1043</v>
      </c>
    </row>
    <row r="4" spans="1:6" x14ac:dyDescent="0.2">
      <c r="A4" s="13" t="s">
        <v>123</v>
      </c>
      <c r="B4" s="12" t="s">
        <v>991</v>
      </c>
      <c r="C4" s="12">
        <v>57</v>
      </c>
      <c r="D4" s="12">
        <v>48</v>
      </c>
      <c r="E4" s="12">
        <v>42</v>
      </c>
      <c r="F4" s="32" t="s">
        <v>1041</v>
      </c>
    </row>
    <row r="5" spans="1:6" x14ac:dyDescent="0.2">
      <c r="A5" s="11" t="s">
        <v>124</v>
      </c>
      <c r="B5" s="10" t="s">
        <v>992</v>
      </c>
      <c r="C5" s="10">
        <v>30</v>
      </c>
      <c r="D5" s="10">
        <v>25</v>
      </c>
      <c r="E5" s="10">
        <v>22</v>
      </c>
      <c r="F5" s="31" t="s">
        <v>1042</v>
      </c>
    </row>
    <row r="6" spans="1:6" x14ac:dyDescent="0.2">
      <c r="A6" s="13" t="s">
        <v>125</v>
      </c>
      <c r="B6" s="12" t="s">
        <v>993</v>
      </c>
      <c r="C6" s="12">
        <v>42</v>
      </c>
      <c r="D6" s="12">
        <v>34</v>
      </c>
      <c r="E6" s="12">
        <v>31</v>
      </c>
      <c r="F6" s="32" t="s">
        <v>1044</v>
      </c>
    </row>
    <row r="7" spans="1:6" ht="36" customHeight="1" x14ac:dyDescent="0.2">
      <c r="A7" s="25" t="s">
        <v>1056</v>
      </c>
      <c r="B7" s="26"/>
      <c r="C7" s="26">
        <f>SUM(C3:C6)</f>
        <v>147</v>
      </c>
      <c r="D7" s="26">
        <f>SUM(D3:D6)</f>
        <v>122</v>
      </c>
      <c r="E7" s="26">
        <f>SUM(E3:E6)</f>
        <v>109</v>
      </c>
      <c r="F7" s="25" t="s">
        <v>1046</v>
      </c>
    </row>
    <row r="8" spans="1:6" x14ac:dyDescent="0.2">
      <c r="A8" s="27"/>
      <c r="B8" s="27"/>
      <c r="C8" s="27"/>
      <c r="D8" s="27"/>
      <c r="E8" s="27"/>
    </row>
    <row r="9" spans="1:6" x14ac:dyDescent="0.2">
      <c r="A9" s="36" t="s">
        <v>1057</v>
      </c>
      <c r="B9" s="37"/>
      <c r="C9" s="37"/>
      <c r="D9" s="37"/>
      <c r="E9" s="37"/>
    </row>
    <row r="10" spans="1:6" ht="219" customHeight="1" x14ac:dyDescent="0.2">
      <c r="A10" s="28" t="s">
        <v>994</v>
      </c>
      <c r="B10" s="38" t="s">
        <v>1017</v>
      </c>
      <c r="C10" s="39"/>
      <c r="D10" s="39"/>
      <c r="E10" s="40"/>
    </row>
    <row r="11" spans="1:6" ht="79" customHeight="1" x14ac:dyDescent="0.2">
      <c r="A11" s="29" t="s">
        <v>995</v>
      </c>
      <c r="B11" s="41" t="s">
        <v>996</v>
      </c>
      <c r="C11" s="39"/>
      <c r="D11" s="39"/>
      <c r="E11" s="40"/>
    </row>
    <row r="12" spans="1:6" hidden="1" x14ac:dyDescent="0.2"/>
    <row r="13" spans="1:6" hidden="1" x14ac:dyDescent="0.2">
      <c r="A13" s="36" t="s">
        <v>997</v>
      </c>
      <c r="B13" s="37"/>
      <c r="C13" s="37"/>
      <c r="D13" s="37"/>
      <c r="E13" s="37"/>
    </row>
    <row r="14" spans="1:6" hidden="1" x14ac:dyDescent="0.2">
      <c r="A14" s="17" t="s">
        <v>126</v>
      </c>
      <c r="B14" s="18" t="s">
        <v>127</v>
      </c>
      <c r="C14" s="18" t="s">
        <v>998</v>
      </c>
      <c r="D14" s="18" t="s">
        <v>128</v>
      </c>
      <c r="E14" s="17" t="s">
        <v>121</v>
      </c>
    </row>
    <row r="15" spans="1:6" hidden="1" x14ac:dyDescent="0.2">
      <c r="A15" s="11" t="s">
        <v>129</v>
      </c>
      <c r="B15" s="10" t="s">
        <v>999</v>
      </c>
      <c r="C15" s="10" t="s">
        <v>1000</v>
      </c>
      <c r="D15" s="10" t="s">
        <v>1001</v>
      </c>
      <c r="E15" s="11" t="s">
        <v>1002</v>
      </c>
    </row>
    <row r="16" spans="1:6" hidden="1" x14ac:dyDescent="0.2">
      <c r="A16" s="13" t="s">
        <v>130</v>
      </c>
      <c r="B16" s="12" t="s">
        <v>1003</v>
      </c>
      <c r="C16" s="12" t="s">
        <v>1004</v>
      </c>
      <c r="D16" s="12" t="s">
        <v>1005</v>
      </c>
      <c r="E16" s="13" t="s">
        <v>1006</v>
      </c>
    </row>
    <row r="17" spans="1:5" hidden="1" x14ac:dyDescent="0.2">
      <c r="A17" s="11" t="s">
        <v>1007</v>
      </c>
      <c r="B17" s="10" t="s">
        <v>1008</v>
      </c>
      <c r="C17" s="10" t="s">
        <v>1009</v>
      </c>
      <c r="D17" s="10" t="s">
        <v>1010</v>
      </c>
      <c r="E17" s="11" t="s">
        <v>131</v>
      </c>
    </row>
    <row r="18" spans="1:5" hidden="1" x14ac:dyDescent="0.2">
      <c r="A18" s="13" t="s">
        <v>132</v>
      </c>
      <c r="B18" s="12" t="s">
        <v>1011</v>
      </c>
      <c r="C18" s="12" t="s">
        <v>1011</v>
      </c>
      <c r="D18" s="12" t="s">
        <v>1012</v>
      </c>
      <c r="E18" s="13" t="s">
        <v>1013</v>
      </c>
    </row>
    <row r="19" spans="1:5" hidden="1" x14ac:dyDescent="0.2">
      <c r="A19" s="11" t="s">
        <v>133</v>
      </c>
      <c r="B19" s="10" t="s">
        <v>1011</v>
      </c>
      <c r="C19" s="10" t="s">
        <v>1011</v>
      </c>
      <c r="D19" s="10" t="s">
        <v>1014</v>
      </c>
      <c r="E19" s="11" t="s">
        <v>1013</v>
      </c>
    </row>
    <row r="20" spans="1:5" hidden="1" x14ac:dyDescent="0.2">
      <c r="A20" s="25" t="s">
        <v>1015</v>
      </c>
      <c r="B20" s="26" t="s">
        <v>1011</v>
      </c>
      <c r="C20" s="26" t="s">
        <v>1011</v>
      </c>
      <c r="D20" s="26" t="s">
        <v>1016</v>
      </c>
      <c r="E20" s="25"/>
    </row>
    <row r="21" spans="1:5" hidden="1" x14ac:dyDescent="0.2"/>
  </sheetData>
  <mergeCells count="5">
    <mergeCell ref="A1:F1"/>
    <mergeCell ref="A9:E9"/>
    <mergeCell ref="B10:E10"/>
    <mergeCell ref="B11:E11"/>
    <mergeCell ref="A13:E13"/>
  </mergeCells>
  <pageMargins left="0.75" right="0.75" top="1" bottom="1" header="0.5" footer="0.5"/>
  <pageSetup paperSize="9" orientation="portrait" horizontalDpi="0" verticalDpi="0"/>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Full Coding</vt:lpstr>
      <vt:lpstr>Codebook</vt:lpstr>
      <vt:lpstr>PRISMA Pipeline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Bastien Tognolini</cp:lastModifiedBy>
  <dcterms:created xsi:type="dcterms:W3CDTF">2026-03-23T15:28:21Z</dcterms:created>
  <dcterms:modified xsi:type="dcterms:W3CDTF">2026-08-25T12:23:58Z</dcterms:modified>
</cp:coreProperties>
</file>